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cs1-my.sharepoint.com/personal/eaganze_wcs_org/Documents/Desktop/"/>
    </mc:Choice>
  </mc:AlternateContent>
  <xr:revisionPtr revIDLastSave="8" documentId="8_{487EF4FC-57C1-4A5C-A64F-5D836E526CE5}" xr6:coauthVersionLast="47" xr6:coauthVersionMax="47" xr10:uidLastSave="{11D9E10F-A4E4-4A9F-B3AD-070F468F780D}"/>
  <bookViews>
    <workbookView xWindow="-108" yWindow="-108" windowWidth="23256" windowHeight="13896" xr2:uid="{2D80A8B3-E7F7-4DAD-B06D-E9F27DA4607F}"/>
  </bookViews>
  <sheets>
    <sheet name="Forest_Cover " sheetId="1" r:id="rId1"/>
    <sheet name="Buffer" sheetId="6" r:id="rId2"/>
    <sheet name="(II) 2.2 RFO ZAD" sheetId="2" r:id="rId3"/>
    <sheet name="(II) 2.2 RFO  Core_Zone" sheetId="3" r:id="rId4"/>
    <sheet name="(II) 2.2 RFO  ZChasse" sheetId="4" r:id="rId5"/>
    <sheet name="Analysi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F4" i="1" l="1"/>
  <c r="E4" i="1"/>
  <c r="F5" i="1"/>
  <c r="E5" i="1"/>
  <c r="F6" i="1"/>
  <c r="E6" i="1"/>
  <c r="F7" i="1"/>
  <c r="E7" i="1"/>
  <c r="F8" i="1"/>
  <c r="E8" i="1"/>
  <c r="F9" i="1"/>
  <c r="E9" i="1"/>
  <c r="F10" i="1"/>
  <c r="E10" i="1"/>
  <c r="F11" i="1"/>
  <c r="E11" i="1"/>
  <c r="E12" i="1"/>
  <c r="F12" i="1"/>
  <c r="F13" i="1"/>
  <c r="E13" i="1"/>
  <c r="E14" i="1"/>
  <c r="F14" i="1"/>
  <c r="F15" i="1"/>
  <c r="E15" i="1"/>
  <c r="F16" i="1"/>
  <c r="E16" i="1"/>
  <c r="F17" i="1"/>
  <c r="E17" i="1"/>
  <c r="F18" i="1"/>
  <c r="E18" i="1"/>
  <c r="E19" i="1"/>
  <c r="F19" i="1"/>
  <c r="E20" i="1"/>
  <c r="F20" i="1"/>
  <c r="F21" i="1"/>
  <c r="E21" i="1"/>
  <c r="F22" i="1"/>
  <c r="E22" i="1"/>
  <c r="E23" i="1"/>
  <c r="F23" i="1"/>
  <c r="F24" i="1"/>
  <c r="E24" i="1"/>
  <c r="F25" i="1"/>
  <c r="E25" i="1"/>
  <c r="F26" i="1"/>
  <c r="E26" i="1"/>
  <c r="E3" i="1"/>
  <c r="F3" i="1"/>
</calcChain>
</file>

<file path=xl/sharedStrings.xml><?xml version="1.0" encoding="utf-8"?>
<sst xmlns="http://schemas.openxmlformats.org/spreadsheetml/2006/main" count="184" uniqueCount="92">
  <si>
    <t xml:space="preserve">Period </t>
  </si>
  <si>
    <t>Pillars</t>
  </si>
  <si>
    <t>% net deforestation rate per year</t>
  </si>
  <si>
    <t>% loss of forest cover/year</t>
  </si>
  <si>
    <t>P2-R2.2</t>
  </si>
  <si>
    <t>N</t>
  </si>
  <si>
    <t>Nom_ZAD</t>
  </si>
  <si>
    <t xml:space="preserve">Annee </t>
  </si>
  <si>
    <t xml:space="preserve">Perte annuelle (ha) </t>
  </si>
  <si>
    <t>UEKOMBA</t>
  </si>
  <si>
    <t>BONGUPANDA</t>
  </si>
  <si>
    <t>BADENGAIDO</t>
  </si>
  <si>
    <t>MOLOKAY</t>
  </si>
  <si>
    <t>BANDISENDE</t>
  </si>
  <si>
    <t>EBIANE</t>
  </si>
  <si>
    <t>EBOYO_BAPUKELI</t>
  </si>
  <si>
    <t>MAMOPI</t>
  </si>
  <si>
    <t>NDUYE</t>
  </si>
  <si>
    <t>EPULU</t>
  </si>
  <si>
    <t>SALATE</t>
  </si>
  <si>
    <t>SETI_UTAMA</t>
  </si>
  <si>
    <t>BABAMA</t>
  </si>
  <si>
    <t>KOKI</t>
  </si>
  <si>
    <t>COMBONI</t>
  </si>
  <si>
    <t>AKOKORA</t>
  </si>
  <si>
    <t>BUKULANI</t>
  </si>
  <si>
    <t>MALEMBI</t>
  </si>
  <si>
    <t>DINGBO</t>
  </si>
  <si>
    <t>ZUNGULUKA</t>
  </si>
  <si>
    <t>EKWE</t>
  </si>
  <si>
    <t>BABESUA</t>
  </si>
  <si>
    <t>BAMARO</t>
  </si>
  <si>
    <t>MELEBWE</t>
  </si>
  <si>
    <t>NZARO</t>
  </si>
  <si>
    <t>ALAMBI</t>
  </si>
  <si>
    <t>APANA</t>
  </si>
  <si>
    <t>AMBANZANI</t>
  </si>
  <si>
    <t>ANDAGUKODI</t>
  </si>
  <si>
    <t>FIOWE</t>
  </si>
  <si>
    <t>BEDEGAO</t>
  </si>
  <si>
    <t>MASTINGA</t>
  </si>
  <si>
    <t>Uekomba</t>
  </si>
  <si>
    <t>Bongupanda</t>
  </si>
  <si>
    <t>Badengaido</t>
  </si>
  <si>
    <t>Molokay</t>
  </si>
  <si>
    <t>Bandisende</t>
  </si>
  <si>
    <t>Ebiane</t>
  </si>
  <si>
    <t>Eboyo-Bapukeli</t>
  </si>
  <si>
    <t>Mamopi</t>
  </si>
  <si>
    <t>Nduye</t>
  </si>
  <si>
    <t>Epulu</t>
  </si>
  <si>
    <t>Salate</t>
  </si>
  <si>
    <t>Seti-Utama</t>
  </si>
  <si>
    <t>Babama</t>
  </si>
  <si>
    <t>Koki</t>
  </si>
  <si>
    <t>Comboni</t>
  </si>
  <si>
    <t>Akokora</t>
  </si>
  <si>
    <t>Bukulani</t>
  </si>
  <si>
    <t>Malembi</t>
  </si>
  <si>
    <t>Dingbo</t>
  </si>
  <si>
    <t>Zunguluka</t>
  </si>
  <si>
    <t>Ekwe</t>
  </si>
  <si>
    <t>Babesua</t>
  </si>
  <si>
    <t>Bamaro</t>
  </si>
  <si>
    <t>Melebwe</t>
  </si>
  <si>
    <t>Nzaro</t>
  </si>
  <si>
    <t>Alambi</t>
  </si>
  <si>
    <t>Apana</t>
  </si>
  <si>
    <t>Ambanzani</t>
  </si>
  <si>
    <t>Andagukodi</t>
  </si>
  <si>
    <t>FIowe</t>
  </si>
  <si>
    <t>Bedegao</t>
  </si>
  <si>
    <t>Mastinga</t>
  </si>
  <si>
    <t>YEAR</t>
  </si>
  <si>
    <t>MONT_MBIA</t>
  </si>
  <si>
    <t>ENJEWE</t>
  </si>
  <si>
    <t>FORET_DE_ZOO</t>
  </si>
  <si>
    <t>LENDA</t>
  </si>
  <si>
    <t>AFARAMA</t>
  </si>
  <si>
    <t>Nom_ZC</t>
  </si>
  <si>
    <t>Perte annuelle (ha) (2001-2024)</t>
  </si>
  <si>
    <t>SETI_UTAMA___ZUNGULUKA</t>
  </si>
  <si>
    <t>BUNGU</t>
  </si>
  <si>
    <t>ANDAGUKODU</t>
  </si>
  <si>
    <t xml:space="preserve">Zone integrale </t>
  </si>
  <si>
    <t>Couverture forestière en 2000</t>
  </si>
  <si>
    <t>Taux de déforestation (2000-2019)</t>
  </si>
  <si>
    <t>Year</t>
  </si>
  <si>
    <t>RFO _Buffer _Ha</t>
  </si>
  <si>
    <t xml:space="preserve">RFO_Buffer  50km </t>
  </si>
  <si>
    <t>Forest lost(ha)</t>
  </si>
  <si>
    <t>Forest cover_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</si>
</sst>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%"/>
    <numFmt numFmtId="170" formatCode="0.0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8"/>
      <name val="Aptos Narrow"/>
      <family val="2"/>
      <scheme val="minor"/>
    </font>
    <font>
      <b/>
      <i/>
      <sz val="10"/>
      <color rgb="FF000000"/>
      <name val="Times New Roman"/>
      <family val="1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2" fontId="0" fillId="2" borderId="0" xfId="0" applyNumberFormat="1" applyFill="1"/>
    <xf numFmtId="165" fontId="0" fillId="2" borderId="0" xfId="0" applyNumberFormat="1" applyFill="1"/>
    <xf numFmtId="170" fontId="0" fillId="0" borderId="0" xfId="0" applyNumberFormat="1"/>
    <xf numFmtId="0" fontId="6" fillId="3" borderId="0" xfId="0" applyFont="1" applyFill="1" applyBorder="1"/>
    <xf numFmtId="0" fontId="0" fillId="4" borderId="3" xfId="0" applyFill="1" applyBorder="1"/>
    <xf numFmtId="164" fontId="0" fillId="4" borderId="3" xfId="0" applyNumberFormat="1" applyFill="1" applyBorder="1"/>
  </cellXfs>
  <cellStyles count="1">
    <cellStyle name="Normal" xfId="0" builtinId="0"/>
  </cellStyles>
  <dxfs count="15">
    <dxf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1"/>
          <bgColor theme="0"/>
        </patternFill>
      </fill>
    </dxf>
    <dxf>
      <border outline="0">
        <right style="thin">
          <color theme="1"/>
        </right>
        <top style="thin">
          <color theme="1"/>
        </top>
      </border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numFmt numFmtId="165" formatCode="0.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8E149-228D-47B0-A837-8E128F97F278}" name="Table1" displayName="Table1" ref="A1:F26" totalsRowShown="0" headerRowDxfId="13" headerRowBorderDxfId="11" tableBorderDxfId="12">
  <autoFilter ref="A1:F26" xr:uid="{1C58E149-228D-47B0-A837-8E128F97F278}"/>
  <tableColumns count="6">
    <tableColumn id="1" xr3:uid="{5A0C6525-D5B3-4345-A549-6C992C04C901}" name="Period " dataDxfId="10"/>
    <tableColumn id="6" xr3:uid="{69CECCD2-D306-49FA-A204-0C2087C1653C}" name="Pillars" dataDxfId="9"/>
    <tableColumn id="9" xr3:uid="{7EB18345-27A6-494B-8685-885B961A2FAA}" name="Forest lost(ha)" dataDxfId="7"/>
    <tableColumn id="10" xr3:uid="{B79849BB-4AE0-4107-A982-DAC95D673561}" name="Forest cover_" dataDxfId="6">
      <calculatedColumnFormula>1372600-Table1[[#This Row],[Forest lost(ha)]]</calculatedColumnFormula>
    </tableColumn>
    <tableColumn id="4" xr3:uid="{BD0AC5F4-B216-4FBB-A1D9-FC94859E6429}" name="% net deforestation rate per year" dataDxfId="8">
      <calculatedColumnFormula>(#REF!-#REF!)/#REF!</calculatedColumnFormula>
    </tableColumn>
    <tableColumn id="8" xr3:uid="{479A5720-43D2-438C-92C7-0A276B78060A}" name="% loss of forest cover/year" dataDxfId="5">
      <calculatedColumnFormula>(Table1[[#This Row],[Forest lost(ha)]]/Table1[[#This Row],[Forest cover_]])*100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7648F-47C5-4A1D-AC93-5E7A02FCC22F}" name="Table2" displayName="Table2" ref="A1:C27" totalsRowShown="0" headerRowDxfId="3" tableBorderDxfId="4">
  <autoFilter ref="A1:C27" xr:uid="{F6C7648F-47C5-4A1D-AC93-5E7A02FCC22F}"/>
  <tableColumns count="3">
    <tableColumn id="1" xr3:uid="{CF2A1AA2-6C48-439B-8297-2C457F169CAA}" name="Year" dataDxfId="2"/>
    <tableColumn id="2" xr3:uid="{DDEFF1B5-DE39-48B4-B92A-ADAB7C82AE8E}" name="RFO_Buffer  50km " dataDxfId="1"/>
    <tableColumn id="3" xr3:uid="{5F770D9C-138B-4432-AFDB-43A86F83EBE6}" name="RFO _Buffer _Ha" dataDxfId="0">
      <calculatedColumnFormula>B2/10000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9BA180-86D9-4A24-8811-4653A9F57B63}" name="Table3" displayName="Table3" ref="A1:AI33" totalsRowShown="0">
  <autoFilter ref="A1:AI33" xr:uid="{0D9BA180-86D9-4A24-8811-4653A9F57B63}"/>
  <tableColumns count="35">
    <tableColumn id="1" xr3:uid="{EF5DCF06-3352-4061-B27C-9271F8978288}" name="N"/>
    <tableColumn id="2" xr3:uid="{6C879B68-C4B0-4F79-B874-8B737AA8906D}" name="Nom_ZAD"/>
    <tableColumn id="4" xr3:uid="{CEFE7244-A353-43D1-97E0-860248C847CC}" name="Annee "/>
    <tableColumn id="3" xr3:uid="{5C20D491-0768-404A-9754-792475102D7B}" name="Perte annuelle (ha) " dataDxfId="14"/>
    <tableColumn id="5" xr3:uid="{FC798C9B-7D32-48E3-B46A-9A853620DABE}" name="UEKOMBA"/>
    <tableColumn id="6" xr3:uid="{14C56F0B-4216-4E8C-9095-0D70CA93E878}" name="BONGUPANDA"/>
    <tableColumn id="7" xr3:uid="{0144B2CC-2004-4A72-8DBF-3E0815E9B902}" name="BADENGAIDO"/>
    <tableColumn id="8" xr3:uid="{D64DB27B-BE59-45CD-A6BE-85D83A4C86DE}" name="MOLOKAY"/>
    <tableColumn id="9" xr3:uid="{500BC8F1-D53A-44E8-B659-8DC7E79F56E5}" name="BANDISENDE"/>
    <tableColumn id="10" xr3:uid="{1BE558EE-4854-460E-A434-9996D29E065A}" name="EBIANE"/>
    <tableColumn id="11" xr3:uid="{6BF7A828-6CC3-4496-B757-1F694E0BA7E7}" name="EBOYO_BAPUKELI"/>
    <tableColumn id="12" xr3:uid="{32FA87BA-3EB0-4EC5-B33A-B0991E9B9B14}" name="MAMOPI"/>
    <tableColumn id="13" xr3:uid="{CAD9AC17-03A9-45EA-93BF-2FF4360F1134}" name="NDUYE"/>
    <tableColumn id="14" xr3:uid="{017F7FE2-A4C3-47ED-8107-C3E2D6D799AA}" name="EPULU"/>
    <tableColumn id="15" xr3:uid="{335F076C-DA75-444A-94C7-E1419AAE4F62}" name="SALATE"/>
    <tableColumn id="16" xr3:uid="{DEAAAE28-EFDB-44D7-9EFF-6869263F6A4A}" name="SETI_UTAMA"/>
    <tableColumn id="17" xr3:uid="{95B21340-380F-4E53-AC16-AB2FA835B40F}" name="BABAMA"/>
    <tableColumn id="18" xr3:uid="{FDF6F150-16B5-43D1-ABC1-50C9BD9EE641}" name="KOKI"/>
    <tableColumn id="19" xr3:uid="{EDD96986-19C9-44B9-81EE-935E364C8DDC}" name="COMBONI"/>
    <tableColumn id="20" xr3:uid="{E69EA738-2C32-44E0-B080-627A44186B09}" name="AKOKORA"/>
    <tableColumn id="21" xr3:uid="{91DB76B1-8AC6-4C48-8F89-7C6ED52A66BE}" name="BUKULANI"/>
    <tableColumn id="22" xr3:uid="{02B768E1-4D50-45B7-A1CE-C63AA5557ADB}" name="MALEMBI"/>
    <tableColumn id="23" xr3:uid="{C7A0A1EB-DD26-402B-947A-49B1CCD117A5}" name="DINGBO"/>
    <tableColumn id="24" xr3:uid="{4D7B7382-BB70-45E4-ABB4-98C5D8E16EC4}" name="ZUNGULUKA"/>
    <tableColumn id="25" xr3:uid="{CC4DEE5B-2D65-4424-B23C-BBAEB4FE45FB}" name="EKWE"/>
    <tableColumn id="26" xr3:uid="{AD1BC4B1-082E-45DA-80D6-354FDAAF4DFB}" name="BABESUA"/>
    <tableColumn id="27" xr3:uid="{6752AA2A-6591-41C2-B8E2-65BCC6575F14}" name="BAMARO"/>
    <tableColumn id="28" xr3:uid="{08E653B7-5217-4E65-B0FA-8DE595977B36}" name="MELEBWE"/>
    <tableColumn id="29" xr3:uid="{EB7B845B-F1DE-42BC-AAAB-6F544BAECDFA}" name="NZARO"/>
    <tableColumn id="30" xr3:uid="{978CC567-ACEF-4CEB-9BA5-C22136BDE59B}" name="ALAMBI"/>
    <tableColumn id="31" xr3:uid="{93D72A81-5053-43F1-84A2-ECDA1BF93F10}" name="APANA"/>
    <tableColumn id="32" xr3:uid="{ACF86E6C-2A27-431E-B92C-B9F1E0788A08}" name="AMBANZANI"/>
    <tableColumn id="33" xr3:uid="{95B9B7D4-EF0E-429A-B4D5-011CBFBB2B8D}" name="ANDAGUKODI"/>
    <tableColumn id="34" xr3:uid="{049A0F76-31C7-42D0-A973-1DBB15CE33C4}" name="FIOWE"/>
    <tableColumn id="35" xr3:uid="{84B4BA68-7D9E-4C77-A716-6937DE0D2831}" name="BEDEGA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C1B1-0960-4C35-8039-63886078CE21}">
  <dimension ref="A1:F33"/>
  <sheetViews>
    <sheetView tabSelected="1" workbookViewId="0">
      <selection activeCell="D5" sqref="D5"/>
    </sheetView>
  </sheetViews>
  <sheetFormatPr defaultRowHeight="15" customHeight="1" x14ac:dyDescent="0.3"/>
  <cols>
    <col min="1" max="2" width="14" customWidth="1"/>
    <col min="3" max="3" width="18.5546875" customWidth="1"/>
    <col min="4" max="4" width="25.6640625" customWidth="1"/>
    <col min="5" max="5" width="25.88671875" customWidth="1"/>
    <col min="6" max="6" width="19" customWidth="1"/>
    <col min="9" max="9" width="9.6640625" bestFit="1" customWidth="1"/>
    <col min="10" max="10" width="23" customWidth="1"/>
    <col min="11" max="11" width="12.77734375" customWidth="1"/>
  </cols>
  <sheetData>
    <row r="1" spans="1:6" ht="26.4" x14ac:dyDescent="0.3">
      <c r="A1" s="7" t="s">
        <v>0</v>
      </c>
      <c r="B1" s="7" t="s">
        <v>1</v>
      </c>
      <c r="C1" s="7" t="s">
        <v>90</v>
      </c>
      <c r="D1" s="7" t="s">
        <v>91</v>
      </c>
      <c r="E1" s="7" t="s">
        <v>2</v>
      </c>
      <c r="F1" s="7" t="s">
        <v>3</v>
      </c>
    </row>
    <row r="2" spans="1:6" ht="14.4" x14ac:dyDescent="0.3">
      <c r="A2" s="2">
        <v>2001</v>
      </c>
      <c r="B2" s="2" t="s">
        <v>4</v>
      </c>
      <c r="C2" s="13">
        <v>465.60710035350002</v>
      </c>
      <c r="D2" s="3">
        <f>1372600-Table1[[#This Row],[Forest lost(ha)]]</f>
        <v>1372134.3928996464</v>
      </c>
      <c r="F2" s="3">
        <f>(Table1[[#This Row],[Forest lost(ha)]]/Table1[[#This Row],[Forest cover_]])*100</f>
        <v>3.3933053698155718E-2</v>
      </c>
    </row>
    <row r="3" spans="1:6" ht="14.4" x14ac:dyDescent="0.3">
      <c r="A3" s="2">
        <v>2002</v>
      </c>
      <c r="B3" s="2" t="s">
        <v>4</v>
      </c>
      <c r="C3">
        <v>589.10395125269997</v>
      </c>
      <c r="D3" s="3">
        <f>1372600-Table1[[#This Row],[Forest lost(ha)]]</f>
        <v>1372010.8960487472</v>
      </c>
      <c r="E3" s="6">
        <f>(D3-D2)/D2</f>
        <v>-9.0003465796239984E-5</v>
      </c>
      <c r="F3" s="3">
        <f>(Table1[[#This Row],[Forest lost(ha)]]/Table1[[#This Row],[Forest cover_]])*100</f>
        <v>4.2937264780422653E-2</v>
      </c>
    </row>
    <row r="4" spans="1:6" ht="14.4" x14ac:dyDescent="0.3">
      <c r="A4" s="2">
        <v>2003</v>
      </c>
      <c r="B4" s="2" t="s">
        <v>4</v>
      </c>
      <c r="C4">
        <v>141.20554147909999</v>
      </c>
      <c r="D4" s="3">
        <f>1372600-Table1[[#This Row],[Forest lost(ha)]]</f>
        <v>1372458.7944585208</v>
      </c>
      <c r="E4" s="6">
        <f t="shared" ref="E4:E25" si="0">(D4-D3)/D3</f>
        <v>3.2645397428219983E-4</v>
      </c>
      <c r="F4" s="3">
        <f>(Table1[[#This Row],[Forest lost(ha)]]/Table1[[#This Row],[Forest cover_]])*100</f>
        <v>1.0288508627671415E-2</v>
      </c>
    </row>
    <row r="5" spans="1:6" ht="14.4" x14ac:dyDescent="0.3">
      <c r="A5" s="2">
        <v>2004</v>
      </c>
      <c r="B5" s="2" t="s">
        <v>4</v>
      </c>
      <c r="C5">
        <v>353.86448948970002</v>
      </c>
      <c r="D5" s="3">
        <f>1372600-Table1[[#This Row],[Forest lost(ha)]]</f>
        <v>1372246.1355105103</v>
      </c>
      <c r="E5" s="6">
        <f t="shared" si="0"/>
        <v>-1.5494741909131995E-4</v>
      </c>
      <c r="F5" s="3">
        <f>(Table1[[#This Row],[Forest lost(ha)]]/Table1[[#This Row],[Forest cover_]])*100</f>
        <v>2.5787246204053146E-2</v>
      </c>
    </row>
    <row r="6" spans="1:6" ht="14.4" x14ac:dyDescent="0.3">
      <c r="A6" s="2">
        <v>2005</v>
      </c>
      <c r="B6" s="2" t="s">
        <v>4</v>
      </c>
      <c r="C6">
        <v>604.95670919530005</v>
      </c>
      <c r="D6" s="3">
        <f>1372600-Table1[[#This Row],[Forest lost(ha)]]</f>
        <v>1371995.0432908046</v>
      </c>
      <c r="E6" s="6">
        <f t="shared" si="0"/>
        <v>-1.8297899568307457E-4</v>
      </c>
      <c r="F6" s="3">
        <f>(Table1[[#This Row],[Forest lost(ha)]]/Table1[[#This Row],[Forest cover_]])*100</f>
        <v>4.4093213904350455E-2</v>
      </c>
    </row>
    <row r="7" spans="1:6" ht="14.4" x14ac:dyDescent="0.3">
      <c r="A7" s="2">
        <v>2006</v>
      </c>
      <c r="B7" s="2" t="s">
        <v>4</v>
      </c>
      <c r="C7">
        <v>356.41639686579998</v>
      </c>
      <c r="D7" s="3">
        <f>1372600-Table1[[#This Row],[Forest lost(ha)]]</f>
        <v>1372243.5836031341</v>
      </c>
      <c r="E7" s="6">
        <f t="shared" si="0"/>
        <v>1.8115248560476036E-4</v>
      </c>
      <c r="F7" s="3">
        <f>(Table1[[#This Row],[Forest lost(ha)]]/Table1[[#This Row],[Forest cover_]])*100</f>
        <v>2.5973260223228632E-2</v>
      </c>
    </row>
    <row r="8" spans="1:6" ht="14.4" x14ac:dyDescent="0.3">
      <c r="A8" s="2">
        <v>2007</v>
      </c>
      <c r="B8" s="2" t="s">
        <v>4</v>
      </c>
      <c r="C8">
        <v>1240.5363069042</v>
      </c>
      <c r="D8" s="3">
        <f>1372600-Table1[[#This Row],[Forest lost(ha)]]</f>
        <v>1371359.4636930958</v>
      </c>
      <c r="E8" s="6">
        <f t="shared" si="0"/>
        <v>-6.4428788052107598E-4</v>
      </c>
      <c r="F8" s="3">
        <f>(Table1[[#This Row],[Forest lost(ha)]]/Table1[[#This Row],[Forest cover_]])*100</f>
        <v>9.0460330770125968E-2</v>
      </c>
    </row>
    <row r="9" spans="1:6" ht="14.4" x14ac:dyDescent="0.3">
      <c r="A9" s="2">
        <v>2008</v>
      </c>
      <c r="B9" s="2" t="s">
        <v>4</v>
      </c>
      <c r="C9">
        <v>265.24370606420001</v>
      </c>
      <c r="D9" s="3">
        <f>1372600-Table1[[#This Row],[Forest lost(ha)]]</f>
        <v>1372334.7562939357</v>
      </c>
      <c r="E9" s="6">
        <f t="shared" si="0"/>
        <v>7.1118669222829719E-4</v>
      </c>
      <c r="F9" s="3">
        <f>(Table1[[#This Row],[Forest lost(ha)]]/Table1[[#This Row],[Forest cover_]])*100</f>
        <v>1.9327915790787447E-2</v>
      </c>
    </row>
    <row r="10" spans="1:6" ht="14.4" x14ac:dyDescent="0.3">
      <c r="A10" s="2">
        <v>2009</v>
      </c>
      <c r="B10" s="2" t="s">
        <v>4</v>
      </c>
      <c r="C10">
        <v>759.30844018779999</v>
      </c>
      <c r="D10" s="3">
        <f>1372600-Table1[[#This Row],[Forest lost(ha)]]</f>
        <v>1371840.6915598123</v>
      </c>
      <c r="E10" s="6">
        <f t="shared" si="0"/>
        <v>-3.6001765010868262E-4</v>
      </c>
      <c r="F10" s="3">
        <f>(Table1[[#This Row],[Forest lost(ha)]]/Table1[[#This Row],[Forest cover_]])*100</f>
        <v>5.5349607637345269E-2</v>
      </c>
    </row>
    <row r="11" spans="1:6" ht="14.4" x14ac:dyDescent="0.3">
      <c r="A11" s="2">
        <v>2010</v>
      </c>
      <c r="B11" s="2" t="s">
        <v>4</v>
      </c>
      <c r="C11">
        <v>344.19817367100001</v>
      </c>
      <c r="D11" s="3">
        <f>1372600-Table1[[#This Row],[Forest lost(ha)]]</f>
        <v>1372255.801826329</v>
      </c>
      <c r="E11" s="6">
        <f t="shared" si="0"/>
        <v>3.0259363865690143E-4</v>
      </c>
      <c r="F11" s="3">
        <f>(Table1[[#This Row],[Forest lost(ha)]]/Table1[[#This Row],[Forest cover_]])*100</f>
        <v>2.5082653920129774E-2</v>
      </c>
    </row>
    <row r="12" spans="1:6" ht="14.4" x14ac:dyDescent="0.3">
      <c r="A12" s="2">
        <v>2011</v>
      </c>
      <c r="B12" s="2" t="s">
        <v>4</v>
      </c>
      <c r="C12">
        <v>809.95993507759999</v>
      </c>
      <c r="D12" s="3">
        <f>1372600-Table1[[#This Row],[Forest lost(ha)]]</f>
        <v>1371790.0400649223</v>
      </c>
      <c r="E12" s="6">
        <f t="shared" si="0"/>
        <v>-3.394132207616023E-4</v>
      </c>
      <c r="F12" s="3">
        <f>(Table1[[#This Row],[Forest lost(ha)]]/Table1[[#This Row],[Forest cover_]])*100</f>
        <v>5.9044016316029478E-2</v>
      </c>
    </row>
    <row r="13" spans="1:6" ht="14.4" x14ac:dyDescent="0.3">
      <c r="A13" s="2">
        <v>2012</v>
      </c>
      <c r="B13" s="2" t="s">
        <v>4</v>
      </c>
      <c r="C13">
        <v>293.93333141400001</v>
      </c>
      <c r="D13" s="3">
        <f>1372600-Table1[[#This Row],[Forest lost(ha)]]</f>
        <v>1372306.0666685861</v>
      </c>
      <c r="E13" s="6">
        <f t="shared" si="0"/>
        <v>3.7617025098052472E-4</v>
      </c>
      <c r="F13" s="3">
        <f>(Table1[[#This Row],[Forest lost(ha)]]/Table1[[#This Row],[Forest cover_]])*100</f>
        <v>2.1418934052193864E-2</v>
      </c>
    </row>
    <row r="14" spans="1:6" ht="14.4" x14ac:dyDescent="0.3">
      <c r="A14" s="2">
        <v>2013</v>
      </c>
      <c r="B14" s="2" t="s">
        <v>4</v>
      </c>
      <c r="C14">
        <v>443.33590870720002</v>
      </c>
      <c r="D14" s="3">
        <f>1372600-Table1[[#This Row],[Forest lost(ha)]]</f>
        <v>1372156.6640912928</v>
      </c>
      <c r="E14" s="6">
        <f t="shared" si="0"/>
        <v>-1.0886972004432536E-4</v>
      </c>
      <c r="F14" s="3">
        <f>(Table1[[#This Row],[Forest lost(ha)]]/Table1[[#This Row],[Forest cover_]])*100</f>
        <v>3.2309423574515675E-2</v>
      </c>
    </row>
    <row r="15" spans="1:6" ht="14.4" x14ac:dyDescent="0.3">
      <c r="A15" s="2">
        <v>2014</v>
      </c>
      <c r="B15" s="2" t="s">
        <v>4</v>
      </c>
      <c r="C15">
        <v>853.03303836550003</v>
      </c>
      <c r="D15" s="3">
        <f>1372600-Table1[[#This Row],[Forest lost(ha)]]</f>
        <v>1371746.9669616346</v>
      </c>
      <c r="E15" s="6">
        <f t="shared" si="0"/>
        <v>-2.9857897452949473E-4</v>
      </c>
      <c r="F15" s="3">
        <f>(Table1[[#This Row],[Forest lost(ha)]]/Table1[[#This Row],[Forest cover_]])*100</f>
        <v>6.2185888426269646E-2</v>
      </c>
    </row>
    <row r="16" spans="1:6" ht="14.4" x14ac:dyDescent="0.3">
      <c r="A16" s="2">
        <v>2015</v>
      </c>
      <c r="B16" s="2" t="s">
        <v>4</v>
      </c>
      <c r="C16">
        <v>738.58385907249999</v>
      </c>
      <c r="D16" s="3">
        <f>1372600-Table1[[#This Row],[Forest lost(ha)]]</f>
        <v>1371861.4161409275</v>
      </c>
      <c r="E16" s="6">
        <f t="shared" si="0"/>
        <v>8.3433156441664838E-5</v>
      </c>
      <c r="F16" s="3">
        <f>(Table1[[#This Row],[Forest lost(ha)]]/Table1[[#This Row],[Forest cover_]])*100</f>
        <v>5.3838080901068751E-2</v>
      </c>
    </row>
    <row r="17" spans="1:6" ht="14.4" x14ac:dyDescent="0.3">
      <c r="A17" s="2">
        <v>2016</v>
      </c>
      <c r="B17" s="2" t="s">
        <v>4</v>
      </c>
      <c r="C17">
        <v>992.30531668089998</v>
      </c>
      <c r="D17" s="3">
        <f>1372600-Table1[[#This Row],[Forest lost(ha)]]</f>
        <v>1371607.6946833192</v>
      </c>
      <c r="E17" s="6">
        <f t="shared" si="0"/>
        <v>-1.8494685733053148E-4</v>
      </c>
      <c r="F17" s="3">
        <f>(Table1[[#This Row],[Forest lost(ha)]]/Table1[[#This Row],[Forest cover_]])*100</f>
        <v>7.234614682662642E-2</v>
      </c>
    </row>
    <row r="18" spans="1:6" ht="14.4" x14ac:dyDescent="0.3">
      <c r="A18" s="2">
        <v>2017</v>
      </c>
      <c r="B18" s="2" t="s">
        <v>4</v>
      </c>
      <c r="C18">
        <v>1070.9504621814999</v>
      </c>
      <c r="D18" s="3">
        <f>1372600-Table1[[#This Row],[Forest lost(ha)]]</f>
        <v>1371529.0495378184</v>
      </c>
      <c r="E18" s="6">
        <f t="shared" si="0"/>
        <v>-5.7337929646811372E-5</v>
      </c>
      <c r="F18" s="3">
        <f>(Table1[[#This Row],[Forest lost(ha)]]/Table1[[#This Row],[Forest cover_]])*100</f>
        <v>7.8084416990102531E-2</v>
      </c>
    </row>
    <row r="19" spans="1:6" ht="14.4" x14ac:dyDescent="0.3">
      <c r="A19" s="2">
        <v>2018</v>
      </c>
      <c r="B19" s="2" t="s">
        <v>4</v>
      </c>
      <c r="C19">
        <v>1069.1718600709</v>
      </c>
      <c r="D19" s="3">
        <f>1372600-Table1[[#This Row],[Forest lost(ha)]]</f>
        <v>1371530.8281399291</v>
      </c>
      <c r="E19" s="6">
        <f t="shared" si="0"/>
        <v>1.2968023617779015E-6</v>
      </c>
      <c r="F19" s="3">
        <f>(Table1[[#This Row],[Forest lost(ha)]]/Table1[[#This Row],[Forest cover_]])*100</f>
        <v>7.7954635662175489E-2</v>
      </c>
    </row>
    <row r="20" spans="1:6" ht="14.4" x14ac:dyDescent="0.3">
      <c r="A20" s="2">
        <v>2019</v>
      </c>
      <c r="B20" s="2" t="s">
        <v>4</v>
      </c>
      <c r="C20">
        <v>1166.5309929964999</v>
      </c>
      <c r="D20" s="3">
        <f>1372600-Table1[[#This Row],[Forest lost(ha)]]</f>
        <v>1371433.4690070036</v>
      </c>
      <c r="E20" s="6">
        <f t="shared" si="0"/>
        <v>-7.0985741572832627E-5</v>
      </c>
      <c r="F20" s="3">
        <f>(Table1[[#This Row],[Forest lost(ha)]]/Table1[[#This Row],[Forest cover_]])*100</f>
        <v>8.5059247813248653E-2</v>
      </c>
    </row>
    <row r="21" spans="1:6" ht="14.4" x14ac:dyDescent="0.3">
      <c r="A21" s="2">
        <v>2020</v>
      </c>
      <c r="B21" s="2" t="s">
        <v>4</v>
      </c>
      <c r="C21">
        <v>1326.3731913739</v>
      </c>
      <c r="D21" s="3">
        <f>1372600-Table1[[#This Row],[Forest lost(ha)]]</f>
        <v>1371273.6268086261</v>
      </c>
      <c r="E21" s="6">
        <f t="shared" si="0"/>
        <v>-1.1655118676169545E-4</v>
      </c>
      <c r="F21" s="3">
        <f>(Table1[[#This Row],[Forest lost(ha)]]/Table1[[#This Row],[Forest cover_]])*100</f>
        <v>9.6725639977542396E-2</v>
      </c>
    </row>
    <row r="22" spans="1:6" ht="14.4" x14ac:dyDescent="0.3">
      <c r="A22" s="2">
        <v>2021</v>
      </c>
      <c r="B22" s="2" t="s">
        <v>4</v>
      </c>
      <c r="C22">
        <v>1445.3848717333001</v>
      </c>
      <c r="D22" s="3">
        <f>1372600-Table1[[#This Row],[Forest lost(ha)]]</f>
        <v>1371154.6151282666</v>
      </c>
      <c r="E22" s="6">
        <f t="shared" si="0"/>
        <v>-8.6789155740173564E-5</v>
      </c>
      <c r="F22" s="3">
        <f>(Table1[[#This Row],[Forest lost(ha)]]/Table1[[#This Row],[Forest cover_]])*100</f>
        <v>0.10541370431795465</v>
      </c>
    </row>
    <row r="23" spans="1:6" ht="14.4" x14ac:dyDescent="0.3">
      <c r="A23" s="2">
        <v>2022</v>
      </c>
      <c r="B23" s="2" t="s">
        <v>4</v>
      </c>
      <c r="C23">
        <v>1964.8140185651</v>
      </c>
      <c r="D23" s="3">
        <f>1372600-Table1[[#This Row],[Forest lost(ha)]]</f>
        <v>1370635.185981435</v>
      </c>
      <c r="E23" s="6">
        <f t="shared" si="0"/>
        <v>-3.7882609379032839E-4</v>
      </c>
      <c r="F23" s="3">
        <f>(Table1[[#This Row],[Forest lost(ha)]]/Table1[[#This Row],[Forest cover_]])*100</f>
        <v>0.14335061865190676</v>
      </c>
    </row>
    <row r="24" spans="1:6" ht="14.4" x14ac:dyDescent="0.3">
      <c r="A24" s="2">
        <v>2023</v>
      </c>
      <c r="B24" s="2" t="s">
        <v>4</v>
      </c>
      <c r="C24">
        <v>1904.415468035</v>
      </c>
      <c r="D24" s="3">
        <f>1372600-Table1[[#This Row],[Forest lost(ha)]]</f>
        <v>1370695.584531965</v>
      </c>
      <c r="E24" s="6">
        <f t="shared" si="0"/>
        <v>4.4066102452138828E-5</v>
      </c>
      <c r="F24" s="3">
        <f>(Table1[[#This Row],[Forest lost(ha)]]/Table1[[#This Row],[Forest cover_]])*100</f>
        <v>0.138937885955566</v>
      </c>
    </row>
    <row r="25" spans="1:6" ht="14.4" x14ac:dyDescent="0.3">
      <c r="A25" s="2">
        <v>2024</v>
      </c>
      <c r="B25" s="2" t="s">
        <v>4</v>
      </c>
      <c r="C25">
        <v>1818.0406791744999</v>
      </c>
      <c r="D25" s="3">
        <f>1372600-Table1[[#This Row],[Forest lost(ha)]]</f>
        <v>1370781.9593208255</v>
      </c>
      <c r="E25" s="6">
        <f t="shared" si="0"/>
        <v>6.3015296638641296E-5</v>
      </c>
      <c r="F25" s="3">
        <f>(Table1[[#This Row],[Forest lost(ha)]]/Table1[[#This Row],[Forest cover_]])*100</f>
        <v>0.13262799869902545</v>
      </c>
    </row>
    <row r="26" spans="1:6" ht="14.4" x14ac:dyDescent="0.3">
      <c r="A26" s="9">
        <v>2025</v>
      </c>
      <c r="B26" s="9" t="s">
        <v>4</v>
      </c>
      <c r="C26" s="10">
        <v>903.45254167569999</v>
      </c>
      <c r="D26" s="11">
        <f>1372600-Table1[[#This Row],[Forest lost(ha)]]</f>
        <v>1371696.5474583243</v>
      </c>
      <c r="E26" s="12">
        <f>(D26-D25)/D25</f>
        <v>6.6720176121370196E-4</v>
      </c>
      <c r="F26" s="11">
        <f>(Table1[[#This Row],[Forest lost(ha)]]/Table1[[#This Row],[Forest cover_]])*100</f>
        <v>6.5863878082200192E-2</v>
      </c>
    </row>
    <row r="27" spans="1:6" ht="14.4" x14ac:dyDescent="0.3"/>
    <row r="32" spans="1:6" ht="15" customHeight="1" x14ac:dyDescent="0.3">
      <c r="A32" s="8" t="s">
        <v>85</v>
      </c>
      <c r="B32" s="8"/>
      <c r="C32" s="8"/>
      <c r="D32" s="8"/>
    </row>
    <row r="33" spans="1:4" ht="15" customHeight="1" x14ac:dyDescent="0.3">
      <c r="A33" s="8" t="s">
        <v>86</v>
      </c>
      <c r="B33" s="8"/>
      <c r="C33" s="8"/>
      <c r="D33" s="8"/>
    </row>
  </sheetData>
  <mergeCells count="2">
    <mergeCell ref="A32:D32"/>
    <mergeCell ref="A33:D33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58A6-CC77-4EE3-9D6B-61965AF3F4D4}">
  <dimension ref="A1:D27"/>
  <sheetViews>
    <sheetView workbookViewId="0">
      <selection activeCell="B15" sqref="B15"/>
    </sheetView>
  </sheetViews>
  <sheetFormatPr defaultRowHeight="14.4" x14ac:dyDescent="0.3"/>
  <cols>
    <col min="1" max="1" width="13.109375" customWidth="1"/>
    <col min="2" max="2" width="21.109375" customWidth="1"/>
    <col min="3" max="3" width="22.109375" customWidth="1"/>
    <col min="4" max="4" width="11.5546875" bestFit="1" customWidth="1"/>
    <col min="5" max="5" width="12" bestFit="1" customWidth="1"/>
    <col min="6" max="6" width="17.77734375" customWidth="1"/>
  </cols>
  <sheetData>
    <row r="1" spans="1:4" x14ac:dyDescent="0.3">
      <c r="A1" s="14" t="s">
        <v>87</v>
      </c>
      <c r="B1" s="14" t="s">
        <v>89</v>
      </c>
      <c r="C1" s="14" t="s">
        <v>88</v>
      </c>
    </row>
    <row r="2" spans="1:4" x14ac:dyDescent="0.3">
      <c r="A2" s="15">
        <v>2000</v>
      </c>
      <c r="B2" s="15">
        <v>28908914537.561001</v>
      </c>
      <c r="C2" s="16">
        <f>B2/10000</f>
        <v>2890891.4537561</v>
      </c>
      <c r="D2" s="3"/>
    </row>
    <row r="3" spans="1:4" x14ac:dyDescent="0.3">
      <c r="A3" s="15">
        <v>2001</v>
      </c>
      <c r="B3" s="15">
        <v>48314125.222753003</v>
      </c>
      <c r="C3" s="16">
        <f t="shared" ref="C3:C27" si="0">B3/10000</f>
        <v>4831.4125222753</v>
      </c>
      <c r="D3" s="3"/>
    </row>
    <row r="4" spans="1:4" x14ac:dyDescent="0.3">
      <c r="A4" s="15">
        <v>2002</v>
      </c>
      <c r="B4" s="15">
        <v>88666293.665442005</v>
      </c>
      <c r="C4" s="16">
        <f t="shared" si="0"/>
        <v>8866.6293665442008</v>
      </c>
      <c r="D4" s="3"/>
    </row>
    <row r="5" spans="1:4" x14ac:dyDescent="0.3">
      <c r="A5" s="15">
        <v>2003</v>
      </c>
      <c r="B5" s="15">
        <v>28605934.962852001</v>
      </c>
      <c r="C5" s="16">
        <f t="shared" si="0"/>
        <v>2860.5934962852002</v>
      </c>
      <c r="D5" s="3"/>
    </row>
    <row r="6" spans="1:4" x14ac:dyDescent="0.3">
      <c r="A6" s="15">
        <v>2004</v>
      </c>
      <c r="B6" s="15">
        <v>49450882.525431998</v>
      </c>
      <c r="C6" s="16">
        <f t="shared" si="0"/>
        <v>4945.0882525431998</v>
      </c>
      <c r="D6" s="3"/>
    </row>
    <row r="7" spans="1:4" x14ac:dyDescent="0.3">
      <c r="A7" s="15">
        <v>2005</v>
      </c>
      <c r="B7" s="15">
        <v>62047550.137511998</v>
      </c>
      <c r="C7" s="16">
        <f t="shared" si="0"/>
        <v>6204.7550137511998</v>
      </c>
      <c r="D7" s="3"/>
    </row>
    <row r="8" spans="1:4" x14ac:dyDescent="0.3">
      <c r="A8" s="15">
        <v>2006</v>
      </c>
      <c r="B8" s="15">
        <v>33877695.450499997</v>
      </c>
      <c r="C8" s="16">
        <f t="shared" si="0"/>
        <v>3387.7695450499996</v>
      </c>
      <c r="D8" s="3"/>
    </row>
    <row r="9" spans="1:4" x14ac:dyDescent="0.3">
      <c r="A9" s="15">
        <v>2007</v>
      </c>
      <c r="B9" s="15">
        <v>147421515.31471699</v>
      </c>
      <c r="C9" s="16">
        <f t="shared" si="0"/>
        <v>14742.1515314717</v>
      </c>
      <c r="D9" s="3"/>
    </row>
    <row r="10" spans="1:4" x14ac:dyDescent="0.3">
      <c r="A10" s="15">
        <v>2008</v>
      </c>
      <c r="B10" s="15">
        <v>23570061.314805001</v>
      </c>
      <c r="C10" s="16">
        <f t="shared" si="0"/>
        <v>2357.0061314805002</v>
      </c>
      <c r="D10" s="3"/>
    </row>
    <row r="11" spans="1:4" x14ac:dyDescent="0.3">
      <c r="A11" s="15">
        <v>2009</v>
      </c>
      <c r="B11" s="15">
        <v>88571628.552181005</v>
      </c>
      <c r="C11" s="16">
        <f t="shared" si="0"/>
        <v>8857.162855218101</v>
      </c>
      <c r="D11" s="3"/>
    </row>
    <row r="12" spans="1:4" x14ac:dyDescent="0.3">
      <c r="A12" s="15">
        <v>2010</v>
      </c>
      <c r="B12" s="15">
        <v>46292016.328020997</v>
      </c>
      <c r="C12" s="16">
        <f t="shared" si="0"/>
        <v>4629.2016328021</v>
      </c>
      <c r="D12" s="3"/>
    </row>
    <row r="13" spans="1:4" x14ac:dyDescent="0.3">
      <c r="A13" s="15">
        <v>2011</v>
      </c>
      <c r="B13" s="15">
        <v>108169634.827795</v>
      </c>
      <c r="C13" s="16">
        <f t="shared" si="0"/>
        <v>10816.9634827795</v>
      </c>
      <c r="D13" s="3"/>
    </row>
    <row r="14" spans="1:4" x14ac:dyDescent="0.3">
      <c r="A14" s="15">
        <v>2012</v>
      </c>
      <c r="B14" s="15">
        <v>47551372.711808003</v>
      </c>
      <c r="C14" s="16">
        <f t="shared" si="0"/>
        <v>4755.1372711808008</v>
      </c>
      <c r="D14" s="3"/>
    </row>
    <row r="15" spans="1:4" x14ac:dyDescent="0.3">
      <c r="A15" s="15">
        <v>2013</v>
      </c>
      <c r="B15" s="15">
        <v>94036598.984107003</v>
      </c>
      <c r="C15" s="16">
        <f t="shared" si="0"/>
        <v>9403.6598984107004</v>
      </c>
      <c r="D15" s="3"/>
    </row>
    <row r="16" spans="1:4" x14ac:dyDescent="0.3">
      <c r="A16" s="15">
        <v>2014</v>
      </c>
      <c r="B16" s="15">
        <v>183452454.120121</v>
      </c>
      <c r="C16" s="16">
        <f t="shared" si="0"/>
        <v>18345.2454120121</v>
      </c>
      <c r="D16" s="3"/>
    </row>
    <row r="17" spans="1:4" x14ac:dyDescent="0.3">
      <c r="A17" s="15">
        <v>2015</v>
      </c>
      <c r="B17" s="15">
        <v>141387778.25967601</v>
      </c>
      <c r="C17" s="16">
        <f t="shared" si="0"/>
        <v>14138.777825967602</v>
      </c>
      <c r="D17" s="3"/>
    </row>
    <row r="18" spans="1:4" x14ac:dyDescent="0.3">
      <c r="A18" s="15">
        <v>2016</v>
      </c>
      <c r="B18" s="15">
        <v>224225183.96762401</v>
      </c>
      <c r="C18" s="16">
        <f t="shared" si="0"/>
        <v>22422.5183967624</v>
      </c>
      <c r="D18" s="3"/>
    </row>
    <row r="19" spans="1:4" x14ac:dyDescent="0.3">
      <c r="A19" s="15">
        <v>2017</v>
      </c>
      <c r="B19" s="15">
        <v>264179293.36848801</v>
      </c>
      <c r="C19" s="16">
        <f t="shared" si="0"/>
        <v>26417.9293368488</v>
      </c>
      <c r="D19" s="3"/>
    </row>
    <row r="20" spans="1:4" x14ac:dyDescent="0.3">
      <c r="A20" s="15">
        <v>2018</v>
      </c>
      <c r="B20" s="15">
        <v>243518244.42756999</v>
      </c>
      <c r="C20" s="16">
        <f t="shared" si="0"/>
        <v>24351.824442756999</v>
      </c>
      <c r="D20" s="3"/>
    </row>
    <row r="21" spans="1:4" x14ac:dyDescent="0.3">
      <c r="A21" s="15">
        <v>2019</v>
      </c>
      <c r="B21" s="15">
        <v>252623166.05872399</v>
      </c>
      <c r="C21" s="16">
        <f t="shared" si="0"/>
        <v>25262.316605872398</v>
      </c>
      <c r="D21" s="3"/>
    </row>
    <row r="22" spans="1:4" x14ac:dyDescent="0.3">
      <c r="A22" s="15">
        <v>2020</v>
      </c>
      <c r="B22" s="15">
        <v>303122348.32198501</v>
      </c>
      <c r="C22" s="16">
        <f t="shared" si="0"/>
        <v>30312.234832198501</v>
      </c>
      <c r="D22" s="3"/>
    </row>
    <row r="23" spans="1:4" x14ac:dyDescent="0.3">
      <c r="A23" s="15">
        <v>2021</v>
      </c>
      <c r="B23" s="15">
        <v>267699749.260813</v>
      </c>
      <c r="C23" s="16">
        <f t="shared" si="0"/>
        <v>26769.974926081301</v>
      </c>
      <c r="D23" s="3"/>
    </row>
    <row r="24" spans="1:4" x14ac:dyDescent="0.3">
      <c r="A24" s="15">
        <v>2022</v>
      </c>
      <c r="B24" s="15">
        <v>403638851.90314102</v>
      </c>
      <c r="C24" s="16">
        <f t="shared" si="0"/>
        <v>40363.885190314104</v>
      </c>
      <c r="D24" s="3"/>
    </row>
    <row r="25" spans="1:4" x14ac:dyDescent="0.3">
      <c r="A25" s="15">
        <v>2023</v>
      </c>
      <c r="B25" s="15">
        <v>324388633.23293</v>
      </c>
      <c r="C25" s="16">
        <f t="shared" si="0"/>
        <v>32438.863323293001</v>
      </c>
      <c r="D25" s="3"/>
    </row>
    <row r="26" spans="1:4" x14ac:dyDescent="0.3">
      <c r="A26" s="15">
        <v>2024</v>
      </c>
      <c r="B26" s="15">
        <v>400743806.51317698</v>
      </c>
      <c r="C26" s="16">
        <f t="shared" si="0"/>
        <v>40074.380651317697</v>
      </c>
      <c r="D26" s="3"/>
    </row>
    <row r="27" spans="1:4" x14ac:dyDescent="0.3">
      <c r="A27" s="15">
        <v>2025</v>
      </c>
      <c r="B27" s="15">
        <v>458433920.71073699</v>
      </c>
      <c r="C27" s="16">
        <f t="shared" si="0"/>
        <v>45843.3920710737</v>
      </c>
      <c r="D27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15ED-3183-4474-9933-A90D2CD8D854}">
  <dimension ref="A1:AJ33"/>
  <sheetViews>
    <sheetView topLeftCell="A7" workbookViewId="0">
      <selection activeCell="C2" sqref="C2"/>
    </sheetView>
  </sheetViews>
  <sheetFormatPr defaultRowHeight="15" customHeight="1" x14ac:dyDescent="0.3"/>
  <cols>
    <col min="2" max="2" width="14.5546875" bestFit="1" customWidth="1"/>
    <col min="3" max="3" width="10.109375" customWidth="1"/>
    <col min="4" max="4" width="17.33203125" customWidth="1"/>
    <col min="5" max="5" width="11.109375" customWidth="1"/>
    <col min="6" max="6" width="15.109375" customWidth="1"/>
    <col min="7" max="7" width="14.109375" customWidth="1"/>
    <col min="8" max="8" width="11" customWidth="1"/>
    <col min="9" max="9" width="13.6640625" customWidth="1"/>
    <col min="11" max="11" width="17.33203125" customWidth="1"/>
    <col min="12" max="12" width="9.6640625" customWidth="1"/>
    <col min="16" max="16" width="12.6640625" customWidth="1"/>
    <col min="17" max="17" width="9.88671875" customWidth="1"/>
    <col min="19" max="19" width="11.109375" customWidth="1"/>
    <col min="20" max="20" width="10.88671875" customWidth="1"/>
    <col min="21" max="21" width="11.33203125" customWidth="1"/>
    <col min="22" max="22" width="10.33203125" customWidth="1"/>
    <col min="23" max="23" width="9.6640625" customWidth="1"/>
    <col min="24" max="24" width="13.109375" customWidth="1"/>
    <col min="26" max="26" width="10.5546875" customWidth="1"/>
    <col min="27" max="27" width="10.109375" customWidth="1"/>
    <col min="28" max="28" width="11" customWidth="1"/>
    <col min="30" max="30" width="9" customWidth="1"/>
    <col min="32" max="32" width="12.6640625" customWidth="1"/>
    <col min="33" max="33" width="14.33203125" customWidth="1"/>
    <col min="35" max="35" width="11" customWidth="1"/>
  </cols>
  <sheetData>
    <row r="1" spans="1:36" x14ac:dyDescent="0.3">
      <c r="A1" s="4" t="s">
        <v>5</v>
      </c>
      <c r="B1" s="4" t="s">
        <v>6</v>
      </c>
      <c r="C1" t="s">
        <v>7</v>
      </c>
      <c r="D1" s="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</row>
    <row r="2" spans="1:36" x14ac:dyDescent="0.3">
      <c r="A2">
        <v>1</v>
      </c>
      <c r="B2" t="s">
        <v>41</v>
      </c>
      <c r="C2">
        <v>2001</v>
      </c>
      <c r="D2" s="3">
        <v>34.451893678600001</v>
      </c>
      <c r="E2" s="3">
        <v>0.93113226159999996</v>
      </c>
      <c r="F2" s="3">
        <v>7.526652447800001</v>
      </c>
      <c r="G2" s="3">
        <v>97.458510045400004</v>
      </c>
      <c r="H2" s="3">
        <v>11.0959927838</v>
      </c>
      <c r="I2" s="3">
        <v>43.685621939100002</v>
      </c>
      <c r="J2" s="3">
        <v>6.8283032516000004</v>
      </c>
      <c r="K2" s="3">
        <v>46.323830013599995</v>
      </c>
      <c r="L2" s="3">
        <v>1.2415096821</v>
      </c>
      <c r="M2" s="3">
        <v>18.5450508765</v>
      </c>
      <c r="N2" s="3">
        <v>8.6129734196000012</v>
      </c>
      <c r="O2" s="3">
        <v>17.613918614899998</v>
      </c>
      <c r="P2" s="3">
        <v>12.2599081108</v>
      </c>
      <c r="Q2" s="3">
        <v>5.1212274387000001</v>
      </c>
      <c r="R2" s="3">
        <v>7.7594355099999998E-2</v>
      </c>
      <c r="S2" s="3">
        <v>30.184204146199999</v>
      </c>
      <c r="T2" s="3">
        <v>7.1386806721000005</v>
      </c>
      <c r="U2" s="3">
        <v>3.7245290462999998</v>
      </c>
      <c r="V2" s="3">
        <v>7.8370298683000001</v>
      </c>
      <c r="W2" s="3">
        <v>5.7419822797000002</v>
      </c>
      <c r="X2" s="3">
        <v>8.3801903541999998</v>
      </c>
      <c r="Y2" s="3">
        <v>3.3365572706999997</v>
      </c>
      <c r="Z2" s="3">
        <v>3.4917459809000002</v>
      </c>
      <c r="AA2" s="3">
        <v>0.85353790640000005</v>
      </c>
      <c r="AB2" s="3">
        <v>3.9573121117000003</v>
      </c>
      <c r="AC2" s="3">
        <v>2.7933967847000001</v>
      </c>
      <c r="AD2" s="3">
        <v>0.1551887103</v>
      </c>
      <c r="AE2" s="3">
        <v>6.8283032516000004</v>
      </c>
      <c r="AF2" s="3">
        <v>0</v>
      </c>
      <c r="AG2" s="3">
        <v>18.3122678111</v>
      </c>
      <c r="AH2" s="3">
        <v>2.1726419437</v>
      </c>
      <c r="AI2" s="3">
        <v>0.62075484110000001</v>
      </c>
      <c r="AJ2" s="3">
        <v>1.3191040372</v>
      </c>
    </row>
    <row r="3" spans="1:36" x14ac:dyDescent="0.3">
      <c r="A3">
        <v>2</v>
      </c>
      <c r="B3" t="s">
        <v>42</v>
      </c>
      <c r="C3">
        <v>2002</v>
      </c>
      <c r="D3" s="3">
        <v>102.50214312910001</v>
      </c>
      <c r="E3" s="3">
        <v>7.7594355099999998E-2</v>
      </c>
      <c r="F3" s="3">
        <v>1.7070758129000001</v>
      </c>
      <c r="G3" s="3">
        <v>42.987272743000005</v>
      </c>
      <c r="H3" s="3">
        <v>18.467456521300001</v>
      </c>
      <c r="I3" s="3">
        <v>66.420767992699993</v>
      </c>
      <c r="J3" s="3">
        <v>5.5867935695000002</v>
      </c>
      <c r="K3" s="3">
        <v>59.825247806500002</v>
      </c>
      <c r="L3" s="3">
        <v>4.8108500182</v>
      </c>
      <c r="M3" s="3">
        <v>17.536324259800001</v>
      </c>
      <c r="N3" s="3">
        <v>64.092937338799999</v>
      </c>
      <c r="O3" s="3">
        <v>52.919350199799993</v>
      </c>
      <c r="P3" s="3">
        <v>16.7603807084</v>
      </c>
      <c r="Q3" s="3">
        <v>9.8544831016999996</v>
      </c>
      <c r="R3" s="3">
        <v>11.7167476249</v>
      </c>
      <c r="S3" s="3">
        <v>19.786560558599998</v>
      </c>
      <c r="T3" s="3">
        <v>5.4316048592000001</v>
      </c>
      <c r="U3" s="3">
        <v>4.8884443732999996</v>
      </c>
      <c r="V3" s="3">
        <v>12.415096821100001</v>
      </c>
      <c r="W3" s="3">
        <v>15.751654091700001</v>
      </c>
      <c r="X3" s="3">
        <v>8.2250016440000007</v>
      </c>
      <c r="Y3" s="3">
        <v>1.3191040372</v>
      </c>
      <c r="Z3" s="3">
        <v>0.23278306539999999</v>
      </c>
      <c r="AA3" s="3">
        <v>4.4228782424999995</v>
      </c>
      <c r="AB3" s="3">
        <v>11.561558914599999</v>
      </c>
      <c r="AC3" s="3">
        <v>0.85353790640000005</v>
      </c>
      <c r="AD3" s="3">
        <v>0.93113226159999996</v>
      </c>
      <c r="AE3" s="3">
        <v>8.5353790645000007</v>
      </c>
      <c r="AF3" s="3">
        <v>26.3820807448</v>
      </c>
      <c r="AG3" s="3">
        <v>18.6226452316</v>
      </c>
      <c r="AH3" s="3">
        <v>12.0271250454</v>
      </c>
      <c r="AI3" s="3">
        <v>11.7167476249</v>
      </c>
      <c r="AJ3" s="3">
        <v>2.8709911399000001</v>
      </c>
    </row>
    <row r="4" spans="1:36" x14ac:dyDescent="0.3">
      <c r="A4">
        <v>3</v>
      </c>
      <c r="B4" t="s">
        <v>43</v>
      </c>
      <c r="C4">
        <v>2003</v>
      </c>
      <c r="D4" s="3">
        <v>3022.1449436694998</v>
      </c>
      <c r="E4" s="3">
        <v>0.23278306539999999</v>
      </c>
      <c r="F4" s="3">
        <v>1.3966983924</v>
      </c>
      <c r="G4" s="3">
        <v>9.8544831016999996</v>
      </c>
      <c r="H4" s="3">
        <v>4.5004725976</v>
      </c>
      <c r="I4" s="3">
        <v>0.3103774205</v>
      </c>
      <c r="J4" s="3">
        <v>1.3966983924</v>
      </c>
      <c r="K4" s="3">
        <v>7.3714637375000009</v>
      </c>
      <c r="L4" s="3">
        <v>0</v>
      </c>
      <c r="M4" s="3">
        <v>1.9398588782999999</v>
      </c>
      <c r="N4" s="3">
        <v>6.1299540553999998</v>
      </c>
      <c r="O4" s="3">
        <v>0.1551887103</v>
      </c>
      <c r="P4" s="3">
        <v>0.3103774205</v>
      </c>
      <c r="Q4" s="3">
        <v>0</v>
      </c>
      <c r="R4" s="3">
        <v>1.0863209718</v>
      </c>
      <c r="S4" s="3">
        <v>6.6731145413000004</v>
      </c>
      <c r="T4" s="3">
        <v>14.9757105404</v>
      </c>
      <c r="U4" s="3">
        <v>0.85353790640000005</v>
      </c>
      <c r="V4" s="3">
        <v>9.1561339055000008</v>
      </c>
      <c r="W4" s="3">
        <v>10.009671812000001</v>
      </c>
      <c r="X4" s="3">
        <v>6.0523597003000003</v>
      </c>
      <c r="Y4" s="3">
        <v>2.2502362988</v>
      </c>
      <c r="Z4" s="3">
        <v>0</v>
      </c>
      <c r="AA4" s="3">
        <v>2.8709911399000001</v>
      </c>
      <c r="AB4" s="3">
        <v>2.4830193642</v>
      </c>
      <c r="AC4" s="3">
        <v>1.0087266167</v>
      </c>
      <c r="AD4" s="3">
        <v>3.6469346912000002</v>
      </c>
      <c r="AE4" s="3">
        <v>2.5606137193</v>
      </c>
      <c r="AF4" s="3">
        <v>20.640098465000001</v>
      </c>
      <c r="AG4" s="3">
        <v>3.1813685603999997</v>
      </c>
      <c r="AH4" s="3">
        <v>1.8622645231999999</v>
      </c>
      <c r="AI4" s="3">
        <v>0</v>
      </c>
      <c r="AJ4" s="3">
        <v>0</v>
      </c>
    </row>
    <row r="5" spans="1:36" x14ac:dyDescent="0.3">
      <c r="A5">
        <v>4</v>
      </c>
      <c r="B5" t="s">
        <v>44</v>
      </c>
      <c r="C5">
        <v>2004</v>
      </c>
      <c r="D5" s="3">
        <v>338.46657708429996</v>
      </c>
      <c r="E5" s="3">
        <v>0</v>
      </c>
      <c r="F5" s="3">
        <v>0.54316048589999999</v>
      </c>
      <c r="G5" s="3">
        <v>30.184204146199999</v>
      </c>
      <c r="H5" s="3">
        <v>10.630426652999999</v>
      </c>
      <c r="I5" s="3">
        <v>14.665333119900001</v>
      </c>
      <c r="J5" s="3">
        <v>11.4063702044</v>
      </c>
      <c r="K5" s="3">
        <v>62.308267170800001</v>
      </c>
      <c r="L5" s="3">
        <v>1.3966983924</v>
      </c>
      <c r="M5" s="3">
        <v>7.4490580925999996</v>
      </c>
      <c r="N5" s="3">
        <v>27.778779137099999</v>
      </c>
      <c r="O5" s="3">
        <v>16.682786353299999</v>
      </c>
      <c r="P5" s="3">
        <v>6.9834919618999995</v>
      </c>
      <c r="Q5" s="3">
        <v>2.9485854950000001</v>
      </c>
      <c r="R5" s="3">
        <v>16.2172202225</v>
      </c>
      <c r="S5" s="3">
        <v>9.0785395504000004</v>
      </c>
      <c r="T5" s="3">
        <v>0.85353790640000005</v>
      </c>
      <c r="U5" s="3">
        <v>14.432550054499998</v>
      </c>
      <c r="V5" s="3">
        <v>1.7070758129000001</v>
      </c>
      <c r="W5" s="3">
        <v>3.1037742053000001</v>
      </c>
      <c r="X5" s="3">
        <v>6.7507088964999999</v>
      </c>
      <c r="Y5" s="3">
        <v>11.79434198</v>
      </c>
      <c r="Z5" s="3">
        <v>1.9398588782999999</v>
      </c>
      <c r="AA5" s="3">
        <v>11.018398428699999</v>
      </c>
      <c r="AB5" s="3">
        <v>3.5693403360999998</v>
      </c>
      <c r="AC5" s="3">
        <v>0</v>
      </c>
      <c r="AD5" s="3">
        <v>4.5004725976</v>
      </c>
      <c r="AE5" s="3">
        <v>3.3365572706999997</v>
      </c>
      <c r="AF5" s="3">
        <v>8.5353790645000007</v>
      </c>
      <c r="AG5" s="3">
        <v>10.5528322979</v>
      </c>
      <c r="AH5" s="3">
        <v>0.69834919620000002</v>
      </c>
      <c r="AI5" s="3">
        <v>1.7846701679999999</v>
      </c>
      <c r="AJ5" s="3">
        <v>0</v>
      </c>
    </row>
    <row r="6" spans="1:36" x14ac:dyDescent="0.3">
      <c r="A6">
        <v>5</v>
      </c>
      <c r="B6" t="s">
        <v>45</v>
      </c>
      <c r="C6">
        <v>2005</v>
      </c>
      <c r="D6" s="3">
        <v>2410.7014252314998</v>
      </c>
      <c r="E6" s="3">
        <v>1.0863209718</v>
      </c>
      <c r="F6" s="3">
        <v>1.7846701679999999</v>
      </c>
      <c r="G6" s="3">
        <v>72.162750272500006</v>
      </c>
      <c r="H6" s="3">
        <v>31.5809025386</v>
      </c>
      <c r="I6" s="3">
        <v>37.943639659399999</v>
      </c>
      <c r="J6" s="3">
        <v>3.1813685603999997</v>
      </c>
      <c r="K6" s="3">
        <v>104.8299737829</v>
      </c>
      <c r="L6" s="3">
        <v>11.173587139</v>
      </c>
      <c r="M6" s="3">
        <v>8.1474072888000002</v>
      </c>
      <c r="N6" s="3">
        <v>21.4160420163</v>
      </c>
      <c r="O6" s="3">
        <v>7.6818411580000001</v>
      </c>
      <c r="P6" s="3">
        <v>22.502362988200002</v>
      </c>
      <c r="Q6" s="3">
        <v>28.632317043599997</v>
      </c>
      <c r="R6" s="3">
        <v>49.272415508599998</v>
      </c>
      <c r="S6" s="3">
        <v>13.1910403724</v>
      </c>
      <c r="T6" s="3">
        <v>3.4141516258000002</v>
      </c>
      <c r="U6" s="3">
        <v>15.751654091700001</v>
      </c>
      <c r="V6" s="3">
        <v>10.7856153633</v>
      </c>
      <c r="W6" s="3">
        <v>2.4054250091</v>
      </c>
      <c r="X6" s="3">
        <v>18.3898621662</v>
      </c>
      <c r="Y6" s="3">
        <v>16.372408932799999</v>
      </c>
      <c r="Z6" s="3">
        <v>2.8709911399000001</v>
      </c>
      <c r="AA6" s="3">
        <v>13.423823437799999</v>
      </c>
      <c r="AB6" s="3">
        <v>14.587738764800001</v>
      </c>
      <c r="AC6" s="3">
        <v>0.54316048589999999</v>
      </c>
      <c r="AD6" s="3">
        <v>6.8283032516000004</v>
      </c>
      <c r="AE6" s="3">
        <v>2.1726419437</v>
      </c>
      <c r="AF6" s="3">
        <v>17.303541194399997</v>
      </c>
      <c r="AG6" s="3">
        <v>4.5780669527999995</v>
      </c>
      <c r="AH6" s="3">
        <v>5.3540105041000006</v>
      </c>
      <c r="AI6" s="3">
        <v>3.1037742053000001</v>
      </c>
      <c r="AJ6" s="3">
        <v>4.1125008220000003</v>
      </c>
    </row>
    <row r="7" spans="1:36" x14ac:dyDescent="0.3">
      <c r="A7">
        <v>6</v>
      </c>
      <c r="B7" t="s">
        <v>46</v>
      </c>
      <c r="C7">
        <v>2006</v>
      </c>
      <c r="D7" s="3">
        <v>119.2625238374</v>
      </c>
      <c r="E7" s="3">
        <v>0.1551887103</v>
      </c>
      <c r="F7" s="3">
        <v>1.4742927475000001</v>
      </c>
      <c r="G7" s="3">
        <v>59.437276030900001</v>
      </c>
      <c r="H7" s="3">
        <v>4.5004725976</v>
      </c>
      <c r="I7" s="3">
        <v>39.961092892799996</v>
      </c>
      <c r="J7" s="3">
        <v>0.23278306539999999</v>
      </c>
      <c r="K7" s="3">
        <v>38.409205790199998</v>
      </c>
      <c r="L7" s="3">
        <v>0.1551887103</v>
      </c>
      <c r="M7" s="3">
        <v>4.7332556629999996</v>
      </c>
      <c r="N7" s="3">
        <v>13.035851662100001</v>
      </c>
      <c r="O7" s="3">
        <v>7.7594355099999998E-2</v>
      </c>
      <c r="P7" s="3">
        <v>18.0794847457</v>
      </c>
      <c r="Q7" s="3">
        <v>4.9660387284</v>
      </c>
      <c r="R7" s="3">
        <v>15.751654091700001</v>
      </c>
      <c r="S7" s="3">
        <v>18.3122678111</v>
      </c>
      <c r="T7" s="3">
        <v>7.4490580925999996</v>
      </c>
      <c r="U7" s="3">
        <v>3.4917459809000002</v>
      </c>
      <c r="V7" s="3">
        <v>3.7245290462999998</v>
      </c>
      <c r="W7" s="3">
        <v>5.6643879245999997</v>
      </c>
      <c r="X7" s="3">
        <v>19.708966203499998</v>
      </c>
      <c r="Y7" s="3">
        <v>2.0950475886</v>
      </c>
      <c r="Z7" s="3">
        <v>1.9398588782999999</v>
      </c>
      <c r="AA7" s="3">
        <v>13.113446017299999</v>
      </c>
      <c r="AB7" s="3">
        <v>16.837975063600002</v>
      </c>
      <c r="AC7" s="3">
        <v>7.7594355099999998E-2</v>
      </c>
      <c r="AD7" s="3">
        <v>4.0349064667999999</v>
      </c>
      <c r="AE7" s="3">
        <v>1.6294814577999999</v>
      </c>
      <c r="AF7" s="3">
        <v>0.3103774205</v>
      </c>
      <c r="AG7" s="3">
        <v>14.9757105404</v>
      </c>
      <c r="AH7" s="3">
        <v>0</v>
      </c>
      <c r="AI7" s="3">
        <v>3.2589629154999997</v>
      </c>
      <c r="AJ7" s="3">
        <v>0</v>
      </c>
    </row>
    <row r="8" spans="1:36" x14ac:dyDescent="0.3">
      <c r="A8">
        <v>7</v>
      </c>
      <c r="B8" t="s">
        <v>47</v>
      </c>
      <c r="C8">
        <v>2007</v>
      </c>
      <c r="D8" s="3">
        <v>1241.8200595276001</v>
      </c>
      <c r="E8" s="3">
        <v>1.9398588782999999</v>
      </c>
      <c r="F8" s="3">
        <v>9.0009451952999999</v>
      </c>
      <c r="G8" s="3">
        <v>169.2332885422</v>
      </c>
      <c r="H8" s="3">
        <v>28.5547226885</v>
      </c>
      <c r="I8" s="3">
        <v>126.40120450949999</v>
      </c>
      <c r="J8" s="3">
        <v>11.483964559499999</v>
      </c>
      <c r="K8" s="3">
        <v>106.76983266119998</v>
      </c>
      <c r="L8" s="3">
        <v>25.761325903700001</v>
      </c>
      <c r="M8" s="3">
        <v>15.208493605799999</v>
      </c>
      <c r="N8" s="3">
        <v>56.488690535899998</v>
      </c>
      <c r="O8" s="3">
        <v>44.4615654905</v>
      </c>
      <c r="P8" s="3">
        <v>37.400479173499996</v>
      </c>
      <c r="Q8" s="3">
        <v>15.130899250699999</v>
      </c>
      <c r="R8" s="3">
        <v>43.064867098100002</v>
      </c>
      <c r="S8" s="3">
        <v>31.658496893700004</v>
      </c>
      <c r="T8" s="3">
        <v>11.9495306903</v>
      </c>
      <c r="U8" s="3">
        <v>15.518871026299999</v>
      </c>
      <c r="V8" s="3">
        <v>42.754489677599999</v>
      </c>
      <c r="W8" s="3">
        <v>12.104719400500001</v>
      </c>
      <c r="X8" s="3">
        <v>22.269579922799998</v>
      </c>
      <c r="Y8" s="3">
        <v>35.848592070800002</v>
      </c>
      <c r="Z8" s="3">
        <v>7.4490580925999996</v>
      </c>
      <c r="AA8" s="3">
        <v>11.483964559499999</v>
      </c>
      <c r="AB8" s="3">
        <v>42.9096783878</v>
      </c>
      <c r="AC8" s="3">
        <v>3.2589629154999997</v>
      </c>
      <c r="AD8" s="3">
        <v>3.6469346912000002</v>
      </c>
      <c r="AE8" s="3">
        <v>2.327830654</v>
      </c>
      <c r="AF8" s="3">
        <v>44.383971135300001</v>
      </c>
      <c r="AG8" s="3">
        <v>24.519816221599999</v>
      </c>
      <c r="AH8" s="3">
        <v>12.6478798865</v>
      </c>
      <c r="AI8" s="3">
        <v>11.483964559499999</v>
      </c>
      <c r="AJ8" s="3">
        <v>5.5867935695000002</v>
      </c>
    </row>
    <row r="9" spans="1:36" x14ac:dyDescent="0.3">
      <c r="A9">
        <v>8</v>
      </c>
      <c r="B9" t="s">
        <v>48</v>
      </c>
      <c r="C9">
        <v>2008</v>
      </c>
      <c r="D9" s="3">
        <v>72.550722048100013</v>
      </c>
      <c r="E9" s="3">
        <v>0.46556613079999998</v>
      </c>
      <c r="F9" s="3">
        <v>7.7594355099999998E-2</v>
      </c>
      <c r="G9" s="3">
        <v>17.691512969999998</v>
      </c>
      <c r="H9" s="3">
        <v>6.5955201861999999</v>
      </c>
      <c r="I9" s="3">
        <v>24.985382352400002</v>
      </c>
      <c r="J9" s="3">
        <v>2.2502362988</v>
      </c>
      <c r="K9" s="3">
        <v>67.584683319699991</v>
      </c>
      <c r="L9" s="3">
        <v>6.6731145413000004</v>
      </c>
      <c r="M9" s="3">
        <v>9.6217000363</v>
      </c>
      <c r="N9" s="3">
        <v>10.5528322979</v>
      </c>
      <c r="O9" s="3">
        <v>5.5867935695000002</v>
      </c>
      <c r="P9" s="3">
        <v>16.837975063600002</v>
      </c>
      <c r="Q9" s="3">
        <v>3.3365572706999997</v>
      </c>
      <c r="R9" s="3">
        <v>16.605191998199999</v>
      </c>
      <c r="S9" s="3">
        <v>2.9485854950000001</v>
      </c>
      <c r="T9" s="3">
        <v>1.5518871026000001</v>
      </c>
      <c r="U9" s="3">
        <v>3.4917459809000002</v>
      </c>
      <c r="V9" s="3">
        <v>1.2415096821</v>
      </c>
      <c r="W9" s="3">
        <v>6.2851427656999999</v>
      </c>
      <c r="X9" s="3">
        <v>5.5867935695000002</v>
      </c>
      <c r="Y9" s="3">
        <v>1.5518871026000001</v>
      </c>
      <c r="Z9" s="3">
        <v>1.8622645231999999</v>
      </c>
      <c r="AA9" s="3">
        <v>0.85353790640000005</v>
      </c>
      <c r="AB9" s="3">
        <v>9.8544831016999996</v>
      </c>
      <c r="AC9" s="3">
        <v>0.3103774205</v>
      </c>
      <c r="AD9" s="3">
        <v>7.7594355099999998E-2</v>
      </c>
      <c r="AE9" s="3">
        <v>0</v>
      </c>
      <c r="AF9" s="3">
        <v>0.38797177569999997</v>
      </c>
      <c r="AG9" s="3">
        <v>9.9320774569000001</v>
      </c>
      <c r="AH9" s="3">
        <v>0.23278306539999999</v>
      </c>
      <c r="AI9" s="3">
        <v>1.3966983924</v>
      </c>
      <c r="AJ9" s="3">
        <v>0</v>
      </c>
    </row>
    <row r="10" spans="1:36" x14ac:dyDescent="0.3">
      <c r="A10">
        <v>9</v>
      </c>
      <c r="B10" t="s">
        <v>49</v>
      </c>
      <c r="C10">
        <v>2009</v>
      </c>
      <c r="D10" s="3">
        <v>304.24746647130002</v>
      </c>
      <c r="E10" s="3">
        <v>0.46556613079999998</v>
      </c>
      <c r="F10" s="3">
        <v>6.5179258310999995</v>
      </c>
      <c r="G10" s="3">
        <v>105.6059173342</v>
      </c>
      <c r="H10" s="3">
        <v>9.8544831016999996</v>
      </c>
      <c r="I10" s="3">
        <v>129.8929504905</v>
      </c>
      <c r="J10" s="3">
        <v>1.3966983924</v>
      </c>
      <c r="K10" s="3">
        <v>102.502143129</v>
      </c>
      <c r="L10" s="3">
        <v>0.3103774205</v>
      </c>
      <c r="M10" s="3">
        <v>7.6042468028999997</v>
      </c>
      <c r="N10" s="3">
        <v>10.630426652999999</v>
      </c>
      <c r="O10" s="3">
        <v>1.0863209718</v>
      </c>
      <c r="P10" s="3">
        <v>23.5110896049</v>
      </c>
      <c r="Q10" s="3">
        <v>6.5179258310999995</v>
      </c>
      <c r="R10" s="3">
        <v>21.4160420163</v>
      </c>
      <c r="S10" s="3">
        <v>18.9330226521</v>
      </c>
      <c r="T10" s="3">
        <v>15.441276671200001</v>
      </c>
      <c r="U10" s="3">
        <v>3.3365572706999997</v>
      </c>
      <c r="V10" s="3">
        <v>21.959202502299998</v>
      </c>
      <c r="W10" s="3">
        <v>12.182313755699999</v>
      </c>
      <c r="X10" s="3">
        <v>11.173587139</v>
      </c>
      <c r="Y10" s="3">
        <v>18.0018903906</v>
      </c>
      <c r="Z10" s="3">
        <v>1.0087266167</v>
      </c>
      <c r="AA10" s="3">
        <v>2.9485854950000001</v>
      </c>
      <c r="AB10" s="3">
        <v>39.573121117199996</v>
      </c>
      <c r="AC10" s="3">
        <v>1.4742927475000001</v>
      </c>
      <c r="AD10" s="3">
        <v>4.5004725976</v>
      </c>
      <c r="AE10" s="3">
        <v>15.6740597366</v>
      </c>
      <c r="AF10" s="3">
        <v>20.7176928202</v>
      </c>
      <c r="AG10" s="3">
        <v>25.916514614</v>
      </c>
      <c r="AH10" s="3">
        <v>4.8884443732999996</v>
      </c>
      <c r="AI10" s="3">
        <v>2.5606137193</v>
      </c>
      <c r="AJ10" s="3">
        <v>10.320049232500001</v>
      </c>
    </row>
    <row r="11" spans="1:36" x14ac:dyDescent="0.3">
      <c r="A11">
        <v>10</v>
      </c>
      <c r="B11" t="s">
        <v>50</v>
      </c>
      <c r="C11">
        <v>2010</v>
      </c>
      <c r="D11" s="3">
        <v>611.90908456839998</v>
      </c>
      <c r="E11" s="3">
        <v>0.69834919620000002</v>
      </c>
      <c r="F11" s="3">
        <v>0.38797177569999997</v>
      </c>
      <c r="G11" s="3">
        <v>20.096937979100002</v>
      </c>
      <c r="H11" s="3">
        <v>3.1813685603999997</v>
      </c>
      <c r="I11" s="3">
        <v>24.0542500908</v>
      </c>
      <c r="J11" s="3">
        <v>0.3103774205</v>
      </c>
      <c r="K11" s="3">
        <v>58.040577638499997</v>
      </c>
      <c r="L11" s="3">
        <v>0.77594355130000003</v>
      </c>
      <c r="M11" s="3">
        <v>8.0698129336999997</v>
      </c>
      <c r="N11" s="3">
        <v>52.841755844699996</v>
      </c>
      <c r="O11" s="3">
        <v>6.4403314758999999</v>
      </c>
      <c r="P11" s="3">
        <v>3.8797177565999998</v>
      </c>
      <c r="Q11" s="3">
        <v>7.9146242234000006</v>
      </c>
      <c r="R11" s="3">
        <v>11.7167476249</v>
      </c>
      <c r="S11" s="3">
        <v>21.183258950999999</v>
      </c>
      <c r="T11" s="3">
        <v>5.2764161490000001</v>
      </c>
      <c r="U11" s="3">
        <v>13.734200858299999</v>
      </c>
      <c r="V11" s="3">
        <v>3.7245290462999998</v>
      </c>
      <c r="W11" s="3">
        <v>3.0261798501000001</v>
      </c>
      <c r="X11" s="3">
        <v>15.751654091700001</v>
      </c>
      <c r="Y11" s="3">
        <v>23.2007121844</v>
      </c>
      <c r="Z11" s="3">
        <v>0.77594355130000003</v>
      </c>
      <c r="AA11" s="3">
        <v>3.1813685603999997</v>
      </c>
      <c r="AB11" s="3">
        <v>4.5004725976</v>
      </c>
      <c r="AC11" s="3">
        <v>1.3966983924</v>
      </c>
      <c r="AD11" s="3">
        <v>1.9398588782999999</v>
      </c>
      <c r="AE11" s="3">
        <v>1.8622645231999999</v>
      </c>
      <c r="AF11" s="3">
        <v>2.4830193642</v>
      </c>
      <c r="AG11" s="3">
        <v>2.4830193642</v>
      </c>
      <c r="AH11" s="3">
        <v>0.38797177569999997</v>
      </c>
      <c r="AI11" s="3">
        <v>7.7594355099999998E-2</v>
      </c>
      <c r="AJ11" s="3">
        <v>1.2415096821</v>
      </c>
    </row>
    <row r="12" spans="1:36" x14ac:dyDescent="0.3">
      <c r="A12">
        <v>11</v>
      </c>
      <c r="B12" t="s">
        <v>51</v>
      </c>
      <c r="C12">
        <v>2011</v>
      </c>
      <c r="D12" s="3">
        <v>451.67674122170001</v>
      </c>
      <c r="E12" s="3">
        <v>3.1037742053000001</v>
      </c>
      <c r="F12" s="3">
        <v>2.2502362988</v>
      </c>
      <c r="G12" s="3">
        <v>91.949310831100007</v>
      </c>
      <c r="H12" s="3">
        <v>24.5974105767</v>
      </c>
      <c r="I12" s="3">
        <v>93.501197933699999</v>
      </c>
      <c r="J12" s="3">
        <v>0</v>
      </c>
      <c r="K12" s="3">
        <v>18.3898621662</v>
      </c>
      <c r="L12" s="3">
        <v>0</v>
      </c>
      <c r="M12" s="3">
        <v>11.79434198</v>
      </c>
      <c r="N12" s="3">
        <v>17.381135549499998</v>
      </c>
      <c r="O12" s="3">
        <v>6.9834919618999995</v>
      </c>
      <c r="P12" s="3">
        <v>15.751654091700001</v>
      </c>
      <c r="Q12" s="3">
        <v>12.2599081108</v>
      </c>
      <c r="R12" s="3">
        <v>11.871936335200001</v>
      </c>
      <c r="S12" s="3">
        <v>26.925241230700003</v>
      </c>
      <c r="T12" s="3">
        <v>5.7419822797000002</v>
      </c>
      <c r="U12" s="3">
        <v>3.9573121117000003</v>
      </c>
      <c r="V12" s="3">
        <v>75.033741412400005</v>
      </c>
      <c r="W12" s="3">
        <v>39.4179324069</v>
      </c>
      <c r="X12" s="3">
        <v>17.070758129000001</v>
      </c>
      <c r="Y12" s="3">
        <v>18.157079100800001</v>
      </c>
      <c r="Z12" s="3">
        <v>6.6731145413000004</v>
      </c>
      <c r="AA12" s="3">
        <v>8.845756484999999</v>
      </c>
      <c r="AB12" s="3">
        <v>11.483964559499999</v>
      </c>
      <c r="AC12" s="3">
        <v>15.2860879609</v>
      </c>
      <c r="AD12" s="3">
        <v>7.1386806721000005</v>
      </c>
      <c r="AE12" s="3">
        <v>13.656606503200001</v>
      </c>
      <c r="AF12" s="3">
        <v>57.342228442299998</v>
      </c>
      <c r="AG12" s="3">
        <v>37.322884818299997</v>
      </c>
      <c r="AH12" s="3">
        <v>17.613918614899998</v>
      </c>
      <c r="AI12" s="3">
        <v>16.062031512299999</v>
      </c>
      <c r="AJ12" s="3">
        <v>11.7167476249</v>
      </c>
    </row>
    <row r="13" spans="1:36" x14ac:dyDescent="0.3">
      <c r="A13">
        <v>12</v>
      </c>
      <c r="B13" t="s">
        <v>52</v>
      </c>
      <c r="C13">
        <v>2012</v>
      </c>
      <c r="D13" s="3">
        <v>454.78051542679998</v>
      </c>
      <c r="E13" s="3">
        <v>0.1551887103</v>
      </c>
      <c r="F13" s="3">
        <v>3.1813685603999997</v>
      </c>
      <c r="G13" s="3">
        <v>53.1521332652</v>
      </c>
      <c r="H13" s="3">
        <v>4.5780669527999995</v>
      </c>
      <c r="I13" s="3">
        <v>50.901896966399995</v>
      </c>
      <c r="J13" s="3">
        <v>3.4917459809000002</v>
      </c>
      <c r="K13" s="3">
        <v>6.8283032516000004</v>
      </c>
      <c r="L13" s="3">
        <v>0.38797177569999997</v>
      </c>
      <c r="M13" s="3">
        <v>5.3540105041000006</v>
      </c>
      <c r="N13" s="3">
        <v>3.8021234015000003</v>
      </c>
      <c r="O13" s="3">
        <v>1.7070758129000001</v>
      </c>
      <c r="P13" s="3">
        <v>18.5450508765</v>
      </c>
      <c r="Q13" s="3">
        <v>4.1125008220000003</v>
      </c>
      <c r="R13" s="3">
        <v>10.8632097184</v>
      </c>
      <c r="S13" s="3">
        <v>7.9146242234000006</v>
      </c>
      <c r="T13" s="3">
        <v>1.2415096821</v>
      </c>
      <c r="U13" s="3">
        <v>1.8622645231999999</v>
      </c>
      <c r="V13" s="3">
        <v>6.9058976067</v>
      </c>
      <c r="W13" s="3">
        <v>2.9485854950000001</v>
      </c>
      <c r="X13" s="3">
        <v>4.0349064667999999</v>
      </c>
      <c r="Y13" s="3">
        <v>5.5091992144000006</v>
      </c>
      <c r="Z13" s="3">
        <v>2.0174532333999999</v>
      </c>
      <c r="AA13" s="3">
        <v>2.4054250091</v>
      </c>
      <c r="AB13" s="3">
        <v>5.0436330836000005</v>
      </c>
      <c r="AC13" s="3">
        <v>0.46556613079999998</v>
      </c>
      <c r="AD13" s="3">
        <v>2.4054250091</v>
      </c>
      <c r="AE13" s="3">
        <v>2.5606137193</v>
      </c>
      <c r="AF13" s="3">
        <v>34.296704968200004</v>
      </c>
      <c r="AG13" s="3">
        <v>11.9495306903</v>
      </c>
      <c r="AH13" s="3">
        <v>1.3191040372</v>
      </c>
      <c r="AI13" s="3">
        <v>3.4917459809000002</v>
      </c>
      <c r="AJ13" s="3">
        <v>0.38797177569999997</v>
      </c>
    </row>
    <row r="14" spans="1:36" x14ac:dyDescent="0.3">
      <c r="A14">
        <v>13</v>
      </c>
      <c r="B14" t="s">
        <v>53</v>
      </c>
      <c r="C14">
        <v>2013</v>
      </c>
      <c r="D14" s="3">
        <v>288.49581237970006</v>
      </c>
      <c r="E14" s="3">
        <v>1.6294814577999999</v>
      </c>
      <c r="F14" s="3">
        <v>3.1037742053000001</v>
      </c>
      <c r="G14" s="3">
        <v>13.113446017299999</v>
      </c>
      <c r="H14" s="3">
        <v>20.174532334199998</v>
      </c>
      <c r="I14" s="3">
        <v>72.473127693000009</v>
      </c>
      <c r="J14" s="3">
        <v>8.4577847094000003</v>
      </c>
      <c r="K14" s="3">
        <v>35.0726485195</v>
      </c>
      <c r="L14" s="3">
        <v>0.3103774205</v>
      </c>
      <c r="M14" s="3">
        <v>6.4403314758999999</v>
      </c>
      <c r="N14" s="3">
        <v>3.8797177565999998</v>
      </c>
      <c r="O14" s="3">
        <v>18.0794847457</v>
      </c>
      <c r="P14" s="3">
        <v>16.993163773799999</v>
      </c>
      <c r="Q14" s="3">
        <v>9.6217000363</v>
      </c>
      <c r="R14" s="3">
        <v>23.7438726703</v>
      </c>
      <c r="S14" s="3">
        <v>9.0009451952999999</v>
      </c>
      <c r="T14" s="3">
        <v>4.1125008220000003</v>
      </c>
      <c r="U14" s="3">
        <v>4.8884443732999996</v>
      </c>
      <c r="V14" s="3">
        <v>27.545996071800001</v>
      </c>
      <c r="W14" s="3">
        <v>4.8108500182</v>
      </c>
      <c r="X14" s="3">
        <v>9.3113226158</v>
      </c>
      <c r="Y14" s="3">
        <v>29.873826725700003</v>
      </c>
      <c r="Z14" s="3">
        <v>7.7594355099999998E-2</v>
      </c>
      <c r="AA14" s="3">
        <v>3.9573121117000003</v>
      </c>
      <c r="AB14" s="3">
        <v>15.829248446899999</v>
      </c>
      <c r="AC14" s="3">
        <v>5.3540105041000006</v>
      </c>
      <c r="AD14" s="3">
        <v>0.93113226159999996</v>
      </c>
      <c r="AE14" s="3">
        <v>3.6469346912000002</v>
      </c>
      <c r="AF14" s="3">
        <v>7.4490580925999996</v>
      </c>
      <c r="AG14" s="3">
        <v>27.080429940999998</v>
      </c>
      <c r="AH14" s="3">
        <v>1.0087266167</v>
      </c>
      <c r="AI14" s="3">
        <v>8.2250016440000007</v>
      </c>
      <c r="AJ14" s="3">
        <v>6.3627371207999994</v>
      </c>
    </row>
    <row r="15" spans="1:36" x14ac:dyDescent="0.3">
      <c r="A15">
        <v>14</v>
      </c>
      <c r="B15" t="s">
        <v>54</v>
      </c>
      <c r="C15">
        <v>2014</v>
      </c>
      <c r="D15" s="3">
        <v>542.61732543589994</v>
      </c>
      <c r="E15" s="3">
        <v>2.327830654</v>
      </c>
      <c r="F15" s="3">
        <v>4.2676895321999995</v>
      </c>
      <c r="G15" s="3">
        <v>46.323830013599995</v>
      </c>
      <c r="H15" s="3">
        <v>13.113446017299999</v>
      </c>
      <c r="I15" s="3">
        <v>189.56300958670002</v>
      </c>
      <c r="J15" s="3">
        <v>1.4742927475000001</v>
      </c>
      <c r="K15" s="3">
        <v>42.133734836499997</v>
      </c>
      <c r="L15" s="3">
        <v>0.23278306539999999</v>
      </c>
      <c r="M15" s="3">
        <v>15.906842802</v>
      </c>
      <c r="N15" s="3">
        <v>18.777833941899999</v>
      </c>
      <c r="O15" s="3">
        <v>11.483964559499999</v>
      </c>
      <c r="P15" s="3">
        <v>30.7273646322</v>
      </c>
      <c r="Q15" s="3">
        <v>19.708966203499998</v>
      </c>
      <c r="R15" s="3">
        <v>30.106609791100002</v>
      </c>
      <c r="S15" s="3">
        <v>23.899061380599999</v>
      </c>
      <c r="T15" s="3">
        <v>10.7856153633</v>
      </c>
      <c r="U15" s="3">
        <v>29.020288819299999</v>
      </c>
      <c r="V15" s="3">
        <v>22.424768633100001</v>
      </c>
      <c r="W15" s="3">
        <v>7.061086317</v>
      </c>
      <c r="X15" s="3">
        <v>16.294814577699999</v>
      </c>
      <c r="Y15" s="3">
        <v>32.589629155299995</v>
      </c>
      <c r="Z15" s="3">
        <v>1.8622645231999999</v>
      </c>
      <c r="AA15" s="3">
        <v>8.7681621299000003</v>
      </c>
      <c r="AB15" s="3">
        <v>34.6070823887</v>
      </c>
      <c r="AC15" s="3">
        <v>0.85353790640000005</v>
      </c>
      <c r="AD15" s="3">
        <v>4.0349064667999999</v>
      </c>
      <c r="AE15" s="3">
        <v>3.9573121117000003</v>
      </c>
      <c r="AF15" s="3">
        <v>37.788450949099996</v>
      </c>
      <c r="AG15" s="3">
        <v>30.960147697499998</v>
      </c>
      <c r="AH15" s="3">
        <v>9.3889169708999987</v>
      </c>
      <c r="AI15" s="3">
        <v>7.4490580925999996</v>
      </c>
      <c r="AJ15" s="3">
        <v>19.476183138099998</v>
      </c>
    </row>
    <row r="16" spans="1:36" x14ac:dyDescent="0.3">
      <c r="A16">
        <v>15</v>
      </c>
      <c r="B16" t="s">
        <v>55</v>
      </c>
      <c r="C16">
        <v>2015</v>
      </c>
      <c r="D16" s="3">
        <v>475.3430195368</v>
      </c>
      <c r="E16" s="3">
        <v>1.7070758129000001</v>
      </c>
      <c r="F16" s="3">
        <v>8.1474072888000002</v>
      </c>
      <c r="G16" s="3">
        <v>75.576901898299994</v>
      </c>
      <c r="H16" s="3">
        <v>12.104719400500001</v>
      </c>
      <c r="I16" s="3">
        <v>152.47290783380001</v>
      </c>
      <c r="J16" s="3">
        <v>6.6731145413000004</v>
      </c>
      <c r="K16" s="3">
        <v>43.375244518600006</v>
      </c>
      <c r="L16" s="3">
        <v>4.1900951770999999</v>
      </c>
      <c r="M16" s="3">
        <v>5.8971709900000002</v>
      </c>
      <c r="N16" s="3">
        <v>18.855428297</v>
      </c>
      <c r="O16" s="3">
        <v>3.9573121117000003</v>
      </c>
      <c r="P16" s="3">
        <v>26.847646875599999</v>
      </c>
      <c r="Q16" s="3">
        <v>15.2860879609</v>
      </c>
      <c r="R16" s="3">
        <v>33.675950127200004</v>
      </c>
      <c r="S16" s="3">
        <v>12.182313755699999</v>
      </c>
      <c r="T16" s="3">
        <v>5.9747653450999998</v>
      </c>
      <c r="U16" s="3">
        <v>18.5450508765</v>
      </c>
      <c r="V16" s="3">
        <v>29.796232370599999</v>
      </c>
      <c r="W16" s="3">
        <v>7.7594355131999997</v>
      </c>
      <c r="X16" s="3">
        <v>11.173587139</v>
      </c>
      <c r="Y16" s="3">
        <v>32.744817865599998</v>
      </c>
      <c r="Z16" s="3">
        <v>0.93113226159999996</v>
      </c>
      <c r="AA16" s="3">
        <v>5.7419822797000002</v>
      </c>
      <c r="AB16" s="3">
        <v>22.347174277899999</v>
      </c>
      <c r="AC16" s="3">
        <v>0.69834919620000002</v>
      </c>
      <c r="AD16" s="3">
        <v>1.5518871026000001</v>
      </c>
      <c r="AE16" s="3">
        <v>6.5179258310999995</v>
      </c>
      <c r="AF16" s="3">
        <v>0</v>
      </c>
      <c r="AG16" s="3">
        <v>42.987272743000005</v>
      </c>
      <c r="AH16" s="3">
        <v>15.2860879609</v>
      </c>
      <c r="AI16" s="3">
        <v>4.3452838873999999</v>
      </c>
      <c r="AJ16" s="3">
        <v>11.251181494100001</v>
      </c>
    </row>
    <row r="17" spans="1:36" x14ac:dyDescent="0.3">
      <c r="A17">
        <v>16</v>
      </c>
      <c r="B17" t="s">
        <v>56</v>
      </c>
      <c r="C17">
        <v>2016</v>
      </c>
      <c r="D17" s="3">
        <v>229.0585363486</v>
      </c>
      <c r="E17" s="3">
        <v>0.93113226159999996</v>
      </c>
      <c r="F17" s="3">
        <v>6.9834919618999995</v>
      </c>
      <c r="G17" s="3">
        <v>165.35357078569999</v>
      </c>
      <c r="H17" s="3">
        <v>9.2337282606999995</v>
      </c>
      <c r="I17" s="3">
        <v>121.12478836060001</v>
      </c>
      <c r="J17" s="3">
        <v>15.2860879609</v>
      </c>
      <c r="K17" s="3">
        <v>44.6943485559</v>
      </c>
      <c r="L17" s="3">
        <v>3.4141516258000002</v>
      </c>
      <c r="M17" s="3">
        <v>22.8903347639</v>
      </c>
      <c r="N17" s="3">
        <v>44.8495372661</v>
      </c>
      <c r="O17" s="3">
        <v>10.8632097184</v>
      </c>
      <c r="P17" s="3">
        <v>28.244345267899998</v>
      </c>
      <c r="Q17" s="3">
        <v>11.871936335200001</v>
      </c>
      <c r="R17" s="3">
        <v>35.227837229799995</v>
      </c>
      <c r="S17" s="3">
        <v>23.4334952498</v>
      </c>
      <c r="T17" s="3">
        <v>14.044578278800001</v>
      </c>
      <c r="U17" s="3">
        <v>19.941749268799999</v>
      </c>
      <c r="V17" s="3">
        <v>20.9504758856</v>
      </c>
      <c r="W17" s="3">
        <v>19.243400072700002</v>
      </c>
      <c r="X17" s="3">
        <v>4.2676895321999995</v>
      </c>
      <c r="Y17" s="3">
        <v>72.550722048099999</v>
      </c>
      <c r="Z17" s="3">
        <v>3.0261798501000001</v>
      </c>
      <c r="AA17" s="3">
        <v>15.829248446899999</v>
      </c>
      <c r="AB17" s="3">
        <v>18.3122678111</v>
      </c>
      <c r="AC17" s="3">
        <v>2.327830654</v>
      </c>
      <c r="AD17" s="3">
        <v>3.8021234015000003</v>
      </c>
      <c r="AE17" s="3">
        <v>9.7768887465999992</v>
      </c>
      <c r="AF17" s="3">
        <v>0.62075484110000001</v>
      </c>
      <c r="AG17" s="3">
        <v>24.519816221599999</v>
      </c>
      <c r="AH17" s="3">
        <v>24.907787997300002</v>
      </c>
      <c r="AI17" s="3">
        <v>25.218165417799998</v>
      </c>
      <c r="AJ17" s="3">
        <v>19.243400072700002</v>
      </c>
    </row>
    <row r="18" spans="1:36" x14ac:dyDescent="0.3">
      <c r="A18">
        <v>17</v>
      </c>
      <c r="B18" t="s">
        <v>57</v>
      </c>
      <c r="C18">
        <v>2017</v>
      </c>
      <c r="D18" s="3">
        <v>434.21801131699999</v>
      </c>
      <c r="E18" s="3">
        <v>1.5518871026000001</v>
      </c>
      <c r="F18" s="3">
        <v>8.7681621299000003</v>
      </c>
      <c r="G18" s="3">
        <v>196.4689071935</v>
      </c>
      <c r="H18" s="3">
        <v>4.9660387284</v>
      </c>
      <c r="I18" s="3">
        <v>106.3042665304</v>
      </c>
      <c r="J18" s="3">
        <v>3.3365572706999997</v>
      </c>
      <c r="K18" s="3">
        <v>47.022179209800001</v>
      </c>
      <c r="L18" s="3">
        <v>1.0863209718</v>
      </c>
      <c r="M18" s="3">
        <v>13.346229082699999</v>
      </c>
      <c r="N18" s="3">
        <v>39.961092892799996</v>
      </c>
      <c r="O18" s="3">
        <v>11.251181494100001</v>
      </c>
      <c r="P18" s="3">
        <v>6.2075484105000003</v>
      </c>
      <c r="Q18" s="3">
        <v>14.354955699400001</v>
      </c>
      <c r="R18" s="3">
        <v>43.530433228900002</v>
      </c>
      <c r="S18" s="3">
        <v>26.1492976794</v>
      </c>
      <c r="T18" s="3">
        <v>14.820521830199999</v>
      </c>
      <c r="U18" s="3">
        <v>15.441276671200001</v>
      </c>
      <c r="V18" s="3">
        <v>42.444112257</v>
      </c>
      <c r="W18" s="3">
        <v>21.8816081471</v>
      </c>
      <c r="X18" s="3">
        <v>14.044578278800001</v>
      </c>
      <c r="Y18" s="3">
        <v>31.736091248899999</v>
      </c>
      <c r="Z18" s="3">
        <v>6.7507088964999999</v>
      </c>
      <c r="AA18" s="3">
        <v>18.3898621662</v>
      </c>
      <c r="AB18" s="3">
        <v>15.6740597366</v>
      </c>
      <c r="AC18" s="3">
        <v>1.3191040372</v>
      </c>
      <c r="AD18" s="3">
        <v>0.54316048589999999</v>
      </c>
      <c r="AE18" s="3">
        <v>14.587738764800001</v>
      </c>
      <c r="AF18" s="3">
        <v>0.23278306539999999</v>
      </c>
      <c r="AG18" s="3">
        <v>55.169586498599998</v>
      </c>
      <c r="AH18" s="3">
        <v>26.847646875599999</v>
      </c>
      <c r="AI18" s="3">
        <v>14.665333119900001</v>
      </c>
      <c r="AJ18" s="3">
        <v>47.332556630300004</v>
      </c>
    </row>
    <row r="19" spans="1:36" x14ac:dyDescent="0.3">
      <c r="A19">
        <v>18</v>
      </c>
      <c r="B19" t="s">
        <v>58</v>
      </c>
      <c r="C19">
        <v>2018</v>
      </c>
      <c r="D19" s="3">
        <v>554.48926177129999</v>
      </c>
      <c r="E19" s="3">
        <v>0.85353790640000005</v>
      </c>
      <c r="F19" s="3">
        <v>5.2764161490000001</v>
      </c>
      <c r="G19" s="3">
        <v>258.46679694369999</v>
      </c>
      <c r="H19" s="3">
        <v>20.7176928202</v>
      </c>
      <c r="I19" s="3">
        <v>103.74365281109999</v>
      </c>
      <c r="J19" s="3">
        <v>7.7594355099999998E-2</v>
      </c>
      <c r="K19" s="3">
        <v>39.029960631200005</v>
      </c>
      <c r="L19" s="3">
        <v>0.54316048589999999</v>
      </c>
      <c r="M19" s="3">
        <v>25.528542838299998</v>
      </c>
      <c r="N19" s="3">
        <v>43.763216294299994</v>
      </c>
      <c r="O19" s="3">
        <v>11.6391532698</v>
      </c>
      <c r="P19" s="3">
        <v>13.5014177929</v>
      </c>
      <c r="Q19" s="3">
        <v>9.5441056811999996</v>
      </c>
      <c r="R19" s="3">
        <v>21.804013791999999</v>
      </c>
      <c r="S19" s="3">
        <v>20.4849097548</v>
      </c>
      <c r="T19" s="3">
        <v>12.958257307</v>
      </c>
      <c r="U19" s="3">
        <v>17.536324259800001</v>
      </c>
      <c r="V19" s="3">
        <v>16.682786353299999</v>
      </c>
      <c r="W19" s="3">
        <v>11.483964559499999</v>
      </c>
      <c r="X19" s="3">
        <v>5.7419822797000002</v>
      </c>
      <c r="Y19" s="3">
        <v>38.331611435100001</v>
      </c>
      <c r="Z19" s="3">
        <v>9.2337282606999995</v>
      </c>
      <c r="AA19" s="3">
        <v>16.527597643099998</v>
      </c>
      <c r="AB19" s="3">
        <v>27.856373492299998</v>
      </c>
      <c r="AC19" s="3">
        <v>1.9398588782999999</v>
      </c>
      <c r="AD19" s="3">
        <v>6.0523597003000003</v>
      </c>
      <c r="AE19" s="3">
        <v>7.2162750272000009</v>
      </c>
      <c r="AF19" s="3">
        <v>10.320049232500001</v>
      </c>
      <c r="AG19" s="3">
        <v>37.090101752999999</v>
      </c>
      <c r="AH19" s="3">
        <v>14.354955699400001</v>
      </c>
      <c r="AI19" s="3">
        <v>9.0009451952999999</v>
      </c>
      <c r="AJ19" s="3">
        <v>16.993163773799999</v>
      </c>
    </row>
    <row r="20" spans="1:36" x14ac:dyDescent="0.3">
      <c r="A20">
        <v>19</v>
      </c>
      <c r="B20" t="s">
        <v>59</v>
      </c>
      <c r="C20">
        <v>2019</v>
      </c>
      <c r="D20" s="3">
        <v>276.85665910980003</v>
      </c>
      <c r="E20" s="3">
        <v>0</v>
      </c>
      <c r="F20" s="3">
        <v>2.1726419437</v>
      </c>
      <c r="G20" s="3">
        <v>218.04013792010002</v>
      </c>
      <c r="H20" s="3">
        <v>22.579957343300002</v>
      </c>
      <c r="I20" s="3">
        <v>168.61253370119999</v>
      </c>
      <c r="J20" s="3">
        <v>6.4403314758999999</v>
      </c>
      <c r="K20" s="3">
        <v>58.506143769299996</v>
      </c>
      <c r="L20" s="3">
        <v>0.54316048589999999</v>
      </c>
      <c r="M20" s="3">
        <v>6.8283032516000004</v>
      </c>
      <c r="N20" s="3">
        <v>24.5974105767</v>
      </c>
      <c r="O20" s="3">
        <v>6.3627371207999994</v>
      </c>
      <c r="P20" s="3">
        <v>41.900951771099997</v>
      </c>
      <c r="Q20" s="3">
        <v>9.6217000363</v>
      </c>
      <c r="R20" s="3">
        <v>42.211329191600001</v>
      </c>
      <c r="S20" s="3">
        <v>31.037742052699997</v>
      </c>
      <c r="T20" s="3">
        <v>17.381135549499998</v>
      </c>
      <c r="U20" s="3">
        <v>22.579957343300002</v>
      </c>
      <c r="V20" s="3">
        <v>31.192930762899998</v>
      </c>
      <c r="W20" s="3">
        <v>23.355900894599998</v>
      </c>
      <c r="X20" s="3">
        <v>9.9320774569000001</v>
      </c>
      <c r="Y20" s="3">
        <v>25.916514614</v>
      </c>
      <c r="Z20" s="3">
        <v>7.6818411580000001</v>
      </c>
      <c r="AA20" s="3">
        <v>17.381135549499998</v>
      </c>
      <c r="AB20" s="3">
        <v>25.916514614</v>
      </c>
      <c r="AC20" s="3">
        <v>7.8370298683000001</v>
      </c>
      <c r="AD20" s="3">
        <v>0</v>
      </c>
      <c r="AE20" s="3">
        <v>8.3025959990999993</v>
      </c>
      <c r="AF20" s="3">
        <v>37.322884818299997</v>
      </c>
      <c r="AG20" s="3">
        <v>42.211329191600001</v>
      </c>
      <c r="AH20" s="3">
        <v>22.812740408700002</v>
      </c>
      <c r="AI20" s="3">
        <v>25.450948483199998</v>
      </c>
      <c r="AJ20" s="3">
        <v>35.615809005499997</v>
      </c>
    </row>
    <row r="21" spans="1:36" x14ac:dyDescent="0.3">
      <c r="A21">
        <v>20</v>
      </c>
      <c r="B21" t="s">
        <v>60</v>
      </c>
      <c r="C21">
        <v>2020</v>
      </c>
      <c r="D21" s="3">
        <v>288.65100109000002</v>
      </c>
      <c r="E21" s="3">
        <v>7.7594355099999998E-2</v>
      </c>
      <c r="F21" s="3">
        <v>8.3801903541999998</v>
      </c>
      <c r="G21" s="3">
        <v>247.37080415989999</v>
      </c>
      <c r="H21" s="3">
        <v>13.656606503200001</v>
      </c>
      <c r="I21" s="3">
        <v>130.59129968669998</v>
      </c>
      <c r="J21" s="3">
        <v>5.1988217938000005</v>
      </c>
      <c r="K21" s="3">
        <v>61.066757488600004</v>
      </c>
      <c r="L21" s="3">
        <v>0</v>
      </c>
      <c r="M21" s="3">
        <v>14.044578278800001</v>
      </c>
      <c r="N21" s="3">
        <v>16.139625867399999</v>
      </c>
      <c r="O21" s="3">
        <v>8.7681621299000003</v>
      </c>
      <c r="P21" s="3">
        <v>16.372408932799999</v>
      </c>
      <c r="Q21" s="3">
        <v>25.140571062699998</v>
      </c>
      <c r="R21" s="3">
        <v>15.5964653815</v>
      </c>
      <c r="S21" s="3">
        <v>22.579957343300002</v>
      </c>
      <c r="T21" s="3">
        <v>5.8971709900000002</v>
      </c>
      <c r="U21" s="3">
        <v>24.209438801099999</v>
      </c>
      <c r="V21" s="3">
        <v>34.2191106131</v>
      </c>
      <c r="W21" s="3">
        <v>14.044578278800001</v>
      </c>
      <c r="X21" s="3">
        <v>0.85353790640000005</v>
      </c>
      <c r="Y21" s="3">
        <v>16.993163773799999</v>
      </c>
      <c r="Z21" s="3">
        <v>2.7933967847000001</v>
      </c>
      <c r="AA21" s="3">
        <v>6.2075484105000003</v>
      </c>
      <c r="AB21" s="3">
        <v>55.790341339700007</v>
      </c>
      <c r="AC21" s="3">
        <v>2.9485854950000001</v>
      </c>
      <c r="AD21" s="3">
        <v>3.1037742053000001</v>
      </c>
      <c r="AE21" s="3">
        <v>14.9757105404</v>
      </c>
      <c r="AF21" s="3">
        <v>37.2452904632</v>
      </c>
      <c r="AG21" s="3">
        <v>83.025959990899992</v>
      </c>
      <c r="AH21" s="3">
        <v>17.7691073252</v>
      </c>
      <c r="AI21" s="3">
        <v>14.044578278800001</v>
      </c>
      <c r="AJ21" s="3">
        <v>38.331611435100001</v>
      </c>
    </row>
    <row r="22" spans="1:36" x14ac:dyDescent="0.3">
      <c r="A22">
        <v>21</v>
      </c>
      <c r="B22" t="s">
        <v>61</v>
      </c>
      <c r="C22">
        <v>2021</v>
      </c>
      <c r="D22" s="3">
        <v>603.14092243880009</v>
      </c>
      <c r="E22" s="3">
        <v>0.85353790640000005</v>
      </c>
      <c r="F22" s="3">
        <v>4.6556613079</v>
      </c>
      <c r="G22" s="3">
        <v>308.20477858309999</v>
      </c>
      <c r="H22" s="3">
        <v>8.7681621299000003</v>
      </c>
      <c r="I22" s="3">
        <v>204.1507483515</v>
      </c>
      <c r="J22" s="3">
        <v>2.4830193642</v>
      </c>
      <c r="K22" s="3">
        <v>54.238454237100008</v>
      </c>
      <c r="L22" s="3">
        <v>1.2415096821</v>
      </c>
      <c r="M22" s="3">
        <v>8.3801903541999998</v>
      </c>
      <c r="N22" s="3">
        <v>8.9233508400999995</v>
      </c>
      <c r="O22" s="3">
        <v>17.924296035400001</v>
      </c>
      <c r="P22" s="3">
        <v>19.243400072700002</v>
      </c>
      <c r="Q22" s="3">
        <v>26.304486389600001</v>
      </c>
      <c r="R22" s="3">
        <v>12.803068596699999</v>
      </c>
      <c r="S22" s="3">
        <v>17.924296035400001</v>
      </c>
      <c r="T22" s="3">
        <v>18.157079100800001</v>
      </c>
      <c r="U22" s="3">
        <v>19.476183138099998</v>
      </c>
      <c r="V22" s="3">
        <v>24.131844445999999</v>
      </c>
      <c r="W22" s="3">
        <v>7.4490580925999996</v>
      </c>
      <c r="X22" s="3">
        <v>28.865100108999997</v>
      </c>
      <c r="Y22" s="3">
        <v>23.4334952498</v>
      </c>
      <c r="Z22" s="3">
        <v>9.9320774569000001</v>
      </c>
      <c r="AA22" s="3">
        <v>5.5091992144000006</v>
      </c>
      <c r="AB22" s="3">
        <v>45.470292107200002</v>
      </c>
      <c r="AC22" s="3">
        <v>4.4228782424999995</v>
      </c>
      <c r="AD22" s="3">
        <v>3.4141516258000002</v>
      </c>
      <c r="AE22" s="3">
        <v>0.69834919620000002</v>
      </c>
      <c r="AF22" s="3">
        <v>8.845756484999999</v>
      </c>
      <c r="AG22" s="3">
        <v>7.7594355131999997</v>
      </c>
      <c r="AH22" s="3">
        <v>15.2860879609</v>
      </c>
      <c r="AI22" s="3">
        <v>18.0794847457</v>
      </c>
      <c r="AJ22" s="3">
        <v>31.503308183500003</v>
      </c>
    </row>
    <row r="23" spans="1:36" x14ac:dyDescent="0.3">
      <c r="A23">
        <v>22</v>
      </c>
      <c r="B23" t="s">
        <v>62</v>
      </c>
      <c r="C23">
        <v>2022</v>
      </c>
      <c r="D23" s="3">
        <v>118.33139157579998</v>
      </c>
      <c r="E23" s="3">
        <v>4.5780669527999995</v>
      </c>
      <c r="F23" s="3">
        <v>5.1212274387000001</v>
      </c>
      <c r="G23" s="3">
        <v>293.77222852860001</v>
      </c>
      <c r="H23" s="3">
        <v>13.346229082699999</v>
      </c>
      <c r="I23" s="3">
        <v>197.32244509990002</v>
      </c>
      <c r="J23" s="3">
        <v>10.5528322979</v>
      </c>
      <c r="K23" s="3">
        <v>39.728309827399997</v>
      </c>
      <c r="L23" s="3">
        <v>1.7846701679999999</v>
      </c>
      <c r="M23" s="3">
        <v>42.0561404814</v>
      </c>
      <c r="N23" s="3">
        <v>36.546941267000001</v>
      </c>
      <c r="O23" s="3">
        <v>60.833974423299999</v>
      </c>
      <c r="P23" s="3">
        <v>28.709911398700001</v>
      </c>
      <c r="Q23" s="3">
        <v>23.2007121844</v>
      </c>
      <c r="R23" s="3">
        <v>23.7438726703</v>
      </c>
      <c r="S23" s="3">
        <v>29.873826725700003</v>
      </c>
      <c r="T23" s="3">
        <v>17.924296035400001</v>
      </c>
      <c r="U23" s="3">
        <v>44.6943485559</v>
      </c>
      <c r="V23" s="3">
        <v>48.108500181699995</v>
      </c>
      <c r="W23" s="3">
        <v>19.088211362399999</v>
      </c>
      <c r="X23" s="3">
        <v>20.7952871753</v>
      </c>
      <c r="Y23" s="3">
        <v>46.091046948199995</v>
      </c>
      <c r="Z23" s="3">
        <v>1.3966983924</v>
      </c>
      <c r="AA23" s="3">
        <v>11.7167476249</v>
      </c>
      <c r="AB23" s="3">
        <v>69.369353487699996</v>
      </c>
      <c r="AC23" s="3">
        <v>8.845756484999999</v>
      </c>
      <c r="AD23" s="3">
        <v>6.4403314758999999</v>
      </c>
      <c r="AE23" s="3">
        <v>14.820521830199999</v>
      </c>
      <c r="AF23" s="3">
        <v>50.203547770200004</v>
      </c>
      <c r="AG23" s="3">
        <v>58.040577638499997</v>
      </c>
      <c r="AH23" s="3">
        <v>11.4063702044</v>
      </c>
      <c r="AI23" s="3">
        <v>11.7167476249</v>
      </c>
      <c r="AJ23" s="3">
        <v>41.435385640299998</v>
      </c>
    </row>
    <row r="24" spans="1:36" x14ac:dyDescent="0.3">
      <c r="A24">
        <v>23</v>
      </c>
      <c r="B24" t="s">
        <v>63</v>
      </c>
      <c r="C24">
        <v>2023</v>
      </c>
      <c r="D24" s="3">
        <v>208.57362659400002</v>
      </c>
      <c r="E24" s="3">
        <v>1.163915327</v>
      </c>
      <c r="F24" s="3">
        <v>1.3966983924</v>
      </c>
      <c r="G24" s="3">
        <v>226.88589440509998</v>
      </c>
      <c r="H24" s="3">
        <v>23.588683960000001</v>
      </c>
      <c r="I24" s="3">
        <v>168.7677224114</v>
      </c>
      <c r="J24" s="3">
        <v>2.0950475886</v>
      </c>
      <c r="K24" s="3">
        <v>47.410150985500003</v>
      </c>
      <c r="L24" s="3">
        <v>0</v>
      </c>
      <c r="M24" s="3">
        <v>12.725474241599999</v>
      </c>
      <c r="N24" s="3">
        <v>29.873826725700003</v>
      </c>
      <c r="O24" s="3">
        <v>75.033741412400005</v>
      </c>
      <c r="P24" s="3">
        <v>21.6488250817</v>
      </c>
      <c r="Q24" s="3">
        <v>9.3113226158</v>
      </c>
      <c r="R24" s="3">
        <v>30.029015435999998</v>
      </c>
      <c r="S24" s="3">
        <v>26.304486389600001</v>
      </c>
      <c r="T24" s="3">
        <v>11.6391532698</v>
      </c>
      <c r="U24" s="3">
        <v>45.780669527699999</v>
      </c>
      <c r="V24" s="3">
        <v>18.467456521300001</v>
      </c>
      <c r="W24" s="3">
        <v>5.9747653450999998</v>
      </c>
      <c r="X24" s="3">
        <v>14.1997669891</v>
      </c>
      <c r="Y24" s="3">
        <v>63.084210722100003</v>
      </c>
      <c r="Z24" s="3">
        <v>22.967929118999997</v>
      </c>
      <c r="AA24" s="3">
        <v>9.6217000363</v>
      </c>
      <c r="AB24" s="3">
        <v>66.498362347899999</v>
      </c>
      <c r="AC24" s="3">
        <v>8.3801903541999998</v>
      </c>
      <c r="AD24" s="3">
        <v>5.8971709900000002</v>
      </c>
      <c r="AE24" s="3">
        <v>6.9834919618999995</v>
      </c>
      <c r="AF24" s="3">
        <v>29.485854950000004</v>
      </c>
      <c r="AG24" s="3">
        <v>30.261798501399998</v>
      </c>
      <c r="AH24" s="3">
        <v>21.959202502299998</v>
      </c>
      <c r="AI24" s="3">
        <v>32.822412220699995</v>
      </c>
      <c r="AJ24" s="3">
        <v>16.139625867399999</v>
      </c>
    </row>
    <row r="25" spans="1:36" x14ac:dyDescent="0.3">
      <c r="A25">
        <v>24</v>
      </c>
      <c r="B25" t="s">
        <v>64</v>
      </c>
      <c r="C25">
        <v>2024</v>
      </c>
      <c r="D25" s="3">
        <v>610.20200875580008</v>
      </c>
      <c r="E25" s="3">
        <v>9.4665113261000009</v>
      </c>
      <c r="F25" s="3">
        <v>8.3801903541999998</v>
      </c>
      <c r="G25" s="3">
        <v>202.7540499591</v>
      </c>
      <c r="H25" s="3">
        <v>18.0794847457</v>
      </c>
      <c r="I25" s="3">
        <v>142.8512077975</v>
      </c>
      <c r="J25" s="3">
        <v>9.6217000363</v>
      </c>
      <c r="K25" s="3">
        <v>50.358736480499999</v>
      </c>
      <c r="L25" s="3">
        <v>6.5179258310999995</v>
      </c>
      <c r="M25" s="3">
        <v>14.1997669891</v>
      </c>
      <c r="N25" s="3">
        <v>32.977600930999998</v>
      </c>
      <c r="O25" s="3">
        <v>54.083265526799998</v>
      </c>
      <c r="P25" s="3">
        <v>11.561558914599999</v>
      </c>
      <c r="Q25" s="3">
        <v>13.734200858299999</v>
      </c>
      <c r="R25" s="3">
        <v>20.4849097548</v>
      </c>
      <c r="S25" s="3">
        <v>25.683731548600001</v>
      </c>
      <c r="T25" s="3">
        <v>14.898116185299999</v>
      </c>
      <c r="U25" s="3">
        <v>87.060866457800003</v>
      </c>
      <c r="V25" s="3">
        <v>41.280196930099997</v>
      </c>
      <c r="W25" s="3">
        <v>16.062031512299999</v>
      </c>
      <c r="X25" s="3">
        <v>9.7768887465999992</v>
      </c>
      <c r="Y25" s="3">
        <v>50.358736480499999</v>
      </c>
      <c r="Z25" s="3">
        <v>21.4160420163</v>
      </c>
      <c r="AA25" s="3">
        <v>13.5014177929</v>
      </c>
      <c r="AB25" s="3">
        <v>46.168641303400001</v>
      </c>
      <c r="AC25" s="3">
        <v>10.009671812000001</v>
      </c>
      <c r="AD25" s="3">
        <v>10.2424548774</v>
      </c>
      <c r="AE25" s="3">
        <v>13.423823437799999</v>
      </c>
      <c r="AF25" s="3">
        <v>45.625480817400003</v>
      </c>
      <c r="AG25" s="3">
        <v>62.618644591300004</v>
      </c>
      <c r="AH25" s="3">
        <v>3.5693403360999998</v>
      </c>
      <c r="AI25" s="3">
        <v>16.139625867399999</v>
      </c>
      <c r="AJ25" s="3">
        <v>44.383971135300001</v>
      </c>
    </row>
    <row r="26" spans="1:36" x14ac:dyDescent="0.3">
      <c r="A26">
        <v>25</v>
      </c>
      <c r="B26" t="s">
        <v>65</v>
      </c>
      <c r="D26" s="3">
        <v>82.405205149599993</v>
      </c>
    </row>
    <row r="27" spans="1:36" x14ac:dyDescent="0.3">
      <c r="A27">
        <v>26</v>
      </c>
      <c r="B27" t="s">
        <v>66</v>
      </c>
      <c r="D27" s="3">
        <v>85.819356775599999</v>
      </c>
    </row>
    <row r="28" spans="1:36" x14ac:dyDescent="0.3">
      <c r="A28">
        <v>27</v>
      </c>
      <c r="B28" t="s">
        <v>67</v>
      </c>
      <c r="D28" s="3">
        <v>166.0519199821</v>
      </c>
    </row>
    <row r="29" spans="1:36" x14ac:dyDescent="0.3">
      <c r="A29">
        <v>28</v>
      </c>
      <c r="B29" t="s">
        <v>68</v>
      </c>
      <c r="D29" s="3">
        <v>497.92297687989992</v>
      </c>
    </row>
    <row r="30" spans="1:36" x14ac:dyDescent="0.3">
      <c r="A30">
        <v>29</v>
      </c>
      <c r="B30" t="s">
        <v>69</v>
      </c>
      <c r="D30" s="3">
        <v>684.07183484109987</v>
      </c>
    </row>
    <row r="31" spans="1:36" x14ac:dyDescent="0.3">
      <c r="A31">
        <v>30</v>
      </c>
      <c r="B31" t="s">
        <v>70</v>
      </c>
      <c r="D31" s="3">
        <v>243.80146382399997</v>
      </c>
    </row>
    <row r="32" spans="1:36" x14ac:dyDescent="0.3">
      <c r="A32">
        <v>31</v>
      </c>
      <c r="B32" t="s">
        <v>71</v>
      </c>
      <c r="D32" s="3">
        <v>242.71514285199999</v>
      </c>
    </row>
    <row r="33" spans="1:4" x14ac:dyDescent="0.3">
      <c r="A33">
        <v>32</v>
      </c>
      <c r="B33" t="s">
        <v>72</v>
      </c>
      <c r="D33" s="3">
        <v>365.62460138070003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DE88-627B-4FA2-88B0-29C91F242935}">
  <dimension ref="A1:F25"/>
  <sheetViews>
    <sheetView workbookViewId="0">
      <selection activeCell="E5" sqref="E5"/>
    </sheetView>
  </sheetViews>
  <sheetFormatPr defaultRowHeight="15" customHeight="1" x14ac:dyDescent="0.3"/>
  <cols>
    <col min="2" max="2" width="11.6640625" bestFit="1" customWidth="1"/>
    <col min="3" max="3" width="10.44140625" bestFit="1" customWidth="1"/>
    <col min="4" max="4" width="15" bestFit="1" customWidth="1"/>
    <col min="5" max="5" width="8.33203125" bestFit="1" customWidth="1"/>
    <col min="6" max="6" width="10.44140625" bestFit="1" customWidth="1"/>
  </cols>
  <sheetData>
    <row r="1" spans="1:6" ht="15" customHeight="1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ht="14.4" x14ac:dyDescent="0.3">
      <c r="A2" s="2">
        <v>2001</v>
      </c>
      <c r="B2" s="3">
        <v>0</v>
      </c>
      <c r="C2" s="3">
        <v>4.8108500182</v>
      </c>
      <c r="D2" s="3">
        <v>0.1551887103</v>
      </c>
      <c r="E2" s="3">
        <v>1.3966983924</v>
      </c>
      <c r="F2" s="3">
        <v>5.6643879245999997</v>
      </c>
    </row>
    <row r="3" spans="1:6" ht="14.4" x14ac:dyDescent="0.3">
      <c r="A3" s="2">
        <v>2002</v>
      </c>
      <c r="B3" s="3">
        <v>0</v>
      </c>
      <c r="C3" s="3">
        <v>17.613918614899998</v>
      </c>
      <c r="D3" s="3">
        <v>4.5004725976</v>
      </c>
      <c r="E3" s="3">
        <v>7.7594355099999998E-2</v>
      </c>
      <c r="F3" s="3">
        <v>7.1386806721000005</v>
      </c>
    </row>
    <row r="4" spans="1:6" ht="14.4" x14ac:dyDescent="0.3">
      <c r="A4" s="2">
        <v>2003</v>
      </c>
      <c r="B4" s="3">
        <v>0</v>
      </c>
      <c r="C4" s="3">
        <v>5.6643879245999997</v>
      </c>
      <c r="D4" s="3">
        <v>0</v>
      </c>
      <c r="E4" s="3">
        <v>0</v>
      </c>
      <c r="F4" s="3">
        <v>1.0087266167</v>
      </c>
    </row>
    <row r="5" spans="1:6" ht="14.4" x14ac:dyDescent="0.3">
      <c r="A5" s="2">
        <v>2004</v>
      </c>
      <c r="B5" s="3">
        <v>0</v>
      </c>
      <c r="C5" s="3">
        <v>16.4500032879</v>
      </c>
      <c r="D5" s="3">
        <v>0.3103774205</v>
      </c>
      <c r="E5" s="3">
        <v>0.1551887103</v>
      </c>
      <c r="F5" s="3">
        <v>4.9660387284</v>
      </c>
    </row>
    <row r="6" spans="1:6" ht="14.4" x14ac:dyDescent="0.3">
      <c r="A6" s="2">
        <v>2005</v>
      </c>
      <c r="B6" s="3">
        <v>0</v>
      </c>
      <c r="C6" s="3">
        <v>18.855428297</v>
      </c>
      <c r="D6" s="3">
        <v>0</v>
      </c>
      <c r="E6" s="3">
        <v>0</v>
      </c>
      <c r="F6" s="3">
        <v>3.2589629154999997</v>
      </c>
    </row>
    <row r="7" spans="1:6" ht="14.4" x14ac:dyDescent="0.3">
      <c r="A7" s="2">
        <v>2006</v>
      </c>
      <c r="B7" s="3">
        <v>0</v>
      </c>
      <c r="C7" s="3">
        <v>6.5179258310999995</v>
      </c>
      <c r="D7" s="3">
        <v>0</v>
      </c>
      <c r="E7" s="3">
        <v>0</v>
      </c>
      <c r="F7" s="3">
        <v>0.69834919620000002</v>
      </c>
    </row>
    <row r="8" spans="1:6" ht="14.4" x14ac:dyDescent="0.3">
      <c r="A8" s="2">
        <v>2007</v>
      </c>
      <c r="B8" s="3">
        <v>0</v>
      </c>
      <c r="C8" s="3">
        <v>11.0959927838</v>
      </c>
      <c r="D8" s="3">
        <v>0.23278306539999999</v>
      </c>
      <c r="E8" s="3">
        <v>0</v>
      </c>
      <c r="F8" s="3">
        <v>24.907787997300002</v>
      </c>
    </row>
    <row r="9" spans="1:6" ht="14.4" x14ac:dyDescent="0.3">
      <c r="A9" s="2">
        <v>2008</v>
      </c>
      <c r="B9" s="3">
        <v>0</v>
      </c>
      <c r="C9" s="3">
        <v>7.2938693824000005</v>
      </c>
      <c r="D9" s="3">
        <v>0</v>
      </c>
      <c r="E9" s="3">
        <v>0</v>
      </c>
      <c r="F9" s="3">
        <v>0.3103774205</v>
      </c>
    </row>
    <row r="10" spans="1:6" ht="14.4" x14ac:dyDescent="0.3">
      <c r="A10" s="2">
        <v>2009</v>
      </c>
      <c r="B10" s="3">
        <v>0</v>
      </c>
      <c r="C10" s="3">
        <v>24.830193642099999</v>
      </c>
      <c r="D10" s="3">
        <v>0</v>
      </c>
      <c r="E10" s="3">
        <v>0</v>
      </c>
      <c r="F10" s="3">
        <v>6.7507088964999999</v>
      </c>
    </row>
    <row r="11" spans="1:6" ht="14.4" x14ac:dyDescent="0.3">
      <c r="A11" s="2">
        <v>2010</v>
      </c>
      <c r="B11" s="3">
        <v>0</v>
      </c>
      <c r="C11" s="3">
        <v>3.1813685603999997</v>
      </c>
      <c r="D11" s="3">
        <v>1.6294814577999999</v>
      </c>
      <c r="E11" s="3">
        <v>0</v>
      </c>
      <c r="F11" s="3">
        <v>3.9573121117000003</v>
      </c>
    </row>
    <row r="12" spans="1:6" ht="14.4" x14ac:dyDescent="0.3">
      <c r="A12" s="2">
        <v>2011</v>
      </c>
      <c r="B12" s="3">
        <v>0</v>
      </c>
      <c r="C12" s="3">
        <v>2.4054250091</v>
      </c>
      <c r="D12" s="3">
        <v>0.3103774205</v>
      </c>
      <c r="E12" s="3">
        <v>0.23278306539999999</v>
      </c>
      <c r="F12" s="3">
        <v>20.872881530399997</v>
      </c>
    </row>
    <row r="13" spans="1:6" ht="14.4" x14ac:dyDescent="0.3">
      <c r="A13" s="2">
        <v>2012</v>
      </c>
      <c r="B13" s="3">
        <v>7.7594355099999998E-2</v>
      </c>
      <c r="C13" s="3">
        <v>1.3966983924</v>
      </c>
      <c r="D13" s="3">
        <v>0.1551887103</v>
      </c>
      <c r="E13" s="3">
        <v>0.1551887103</v>
      </c>
      <c r="F13" s="3">
        <v>5.8971709900000002</v>
      </c>
    </row>
    <row r="14" spans="1:6" ht="14.4" x14ac:dyDescent="0.3">
      <c r="A14" s="2">
        <v>2013</v>
      </c>
      <c r="B14" s="3">
        <v>0</v>
      </c>
      <c r="C14" s="3">
        <v>1.3191040372</v>
      </c>
      <c r="D14" s="3">
        <v>0</v>
      </c>
      <c r="E14" s="3">
        <v>0</v>
      </c>
      <c r="F14" s="3">
        <v>2.1726419437</v>
      </c>
    </row>
    <row r="15" spans="1:6" ht="14.4" x14ac:dyDescent="0.3">
      <c r="A15" s="2">
        <v>2014</v>
      </c>
      <c r="B15" s="3">
        <v>0</v>
      </c>
      <c r="C15" s="3">
        <v>7.9922185786000002</v>
      </c>
      <c r="D15" s="3">
        <v>0</v>
      </c>
      <c r="E15" s="3">
        <v>0</v>
      </c>
      <c r="F15" s="3">
        <v>11.251181494100001</v>
      </c>
    </row>
    <row r="16" spans="1:6" ht="14.4" x14ac:dyDescent="0.3">
      <c r="A16" s="2">
        <v>2015</v>
      </c>
      <c r="B16" s="3">
        <v>0</v>
      </c>
      <c r="C16" s="3">
        <v>11.871936335200001</v>
      </c>
      <c r="D16" s="3">
        <v>0</v>
      </c>
      <c r="E16" s="3">
        <v>0</v>
      </c>
      <c r="F16" s="3">
        <v>1.8622645231999999</v>
      </c>
    </row>
    <row r="17" spans="1:6" ht="14.4" x14ac:dyDescent="0.3">
      <c r="A17" s="2">
        <v>2016</v>
      </c>
      <c r="B17" s="3">
        <v>0</v>
      </c>
      <c r="C17" s="3">
        <v>16.605191998199999</v>
      </c>
      <c r="D17" s="3">
        <v>0</v>
      </c>
      <c r="E17" s="3">
        <v>0</v>
      </c>
      <c r="F17" s="3">
        <v>1.3191040372</v>
      </c>
    </row>
    <row r="18" spans="1:6" ht="14.4" x14ac:dyDescent="0.3">
      <c r="A18" s="2">
        <v>2017</v>
      </c>
      <c r="B18" s="3">
        <v>0</v>
      </c>
      <c r="C18" s="3">
        <v>15.906842802</v>
      </c>
      <c r="D18" s="3">
        <v>0.62075484110000001</v>
      </c>
      <c r="E18" s="3">
        <v>0</v>
      </c>
      <c r="F18" s="3">
        <v>4.2676895321999995</v>
      </c>
    </row>
    <row r="19" spans="1:6" ht="14.4" x14ac:dyDescent="0.3">
      <c r="A19" s="2">
        <v>2018</v>
      </c>
      <c r="B19" s="3">
        <v>0</v>
      </c>
      <c r="C19" s="3">
        <v>32.977600930999998</v>
      </c>
      <c r="D19" s="3">
        <v>0</v>
      </c>
      <c r="E19" s="3">
        <v>0</v>
      </c>
      <c r="F19" s="3">
        <v>2.2502362988</v>
      </c>
    </row>
    <row r="20" spans="1:6" ht="14.4" x14ac:dyDescent="0.3">
      <c r="A20" s="2">
        <v>2019</v>
      </c>
      <c r="B20" s="3">
        <v>0</v>
      </c>
      <c r="C20" s="3">
        <v>30.882553342400001</v>
      </c>
      <c r="D20" s="3">
        <v>0</v>
      </c>
      <c r="E20" s="3">
        <v>0</v>
      </c>
      <c r="F20" s="3">
        <v>3.2589629154999997</v>
      </c>
    </row>
    <row r="21" spans="1:6" ht="14.4" x14ac:dyDescent="0.3">
      <c r="A21" s="2">
        <v>2020</v>
      </c>
      <c r="B21" s="3">
        <v>0</v>
      </c>
      <c r="C21" s="3">
        <v>178.62220551320002</v>
      </c>
      <c r="D21" s="3">
        <v>0</v>
      </c>
      <c r="E21" s="3">
        <v>0.3103774205</v>
      </c>
      <c r="F21" s="3">
        <v>4.5004725976</v>
      </c>
    </row>
    <row r="22" spans="1:6" ht="14.4" x14ac:dyDescent="0.3">
      <c r="A22" s="2">
        <v>2021</v>
      </c>
      <c r="B22" s="3">
        <v>0.62075484110000001</v>
      </c>
      <c r="C22" s="3">
        <v>119.49530690280001</v>
      </c>
      <c r="D22" s="3">
        <v>0</v>
      </c>
      <c r="E22" s="3">
        <v>0</v>
      </c>
      <c r="F22" s="3">
        <v>6.1299540553999998</v>
      </c>
    </row>
    <row r="23" spans="1:6" ht="14.4" x14ac:dyDescent="0.3">
      <c r="A23" s="2">
        <v>2022</v>
      </c>
      <c r="B23" s="3">
        <v>0</v>
      </c>
      <c r="C23" s="3">
        <v>128.4962520981</v>
      </c>
      <c r="D23" s="3">
        <v>7.7594355099999998E-2</v>
      </c>
      <c r="E23" s="3">
        <v>0</v>
      </c>
      <c r="F23" s="3">
        <v>9.2337282606999995</v>
      </c>
    </row>
    <row r="24" spans="1:6" ht="14.4" x14ac:dyDescent="0.3">
      <c r="A24" s="2">
        <v>2023</v>
      </c>
      <c r="B24" s="3">
        <v>0</v>
      </c>
      <c r="C24" s="3">
        <v>213.69485403269999</v>
      </c>
      <c r="D24" s="3">
        <v>1.3966983924</v>
      </c>
      <c r="E24" s="3">
        <v>0</v>
      </c>
      <c r="F24" s="3">
        <v>1.4742927475000001</v>
      </c>
    </row>
    <row r="25" spans="1:6" ht="14.4" x14ac:dyDescent="0.3">
      <c r="A25" s="2">
        <v>2024</v>
      </c>
      <c r="B25" s="3">
        <v>0.23278306539999999</v>
      </c>
      <c r="C25" s="3">
        <v>171.48352484110001</v>
      </c>
      <c r="D25" s="3">
        <v>0.1551887103</v>
      </c>
      <c r="E25" s="3">
        <v>0</v>
      </c>
      <c r="F25" s="3">
        <v>1.0087266167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1DDC-D515-490E-BAD1-55441F98C64C}">
  <dimension ref="A1:AG32"/>
  <sheetViews>
    <sheetView workbookViewId="0">
      <selection activeCell="F2" sqref="F2"/>
    </sheetView>
  </sheetViews>
  <sheetFormatPr defaultRowHeight="14.4" x14ac:dyDescent="0.3"/>
  <cols>
    <col min="2" max="2" width="23.6640625" bestFit="1" customWidth="1"/>
    <col min="3" max="3" width="12.6640625" customWidth="1"/>
    <col min="5" max="11" width="8.6640625" bestFit="1" customWidth="1"/>
    <col min="12" max="13" width="9.33203125" bestFit="1" customWidth="1"/>
    <col min="14" max="14" width="8.6640625" bestFit="1" customWidth="1"/>
    <col min="15" max="15" width="9.33203125" bestFit="1" customWidth="1"/>
    <col min="16" max="33" width="8.6640625" bestFit="1" customWidth="1"/>
  </cols>
  <sheetData>
    <row r="1" spans="1:33" ht="39.6" x14ac:dyDescent="0.3">
      <c r="A1" s="4" t="s">
        <v>5</v>
      </c>
      <c r="B1" s="4" t="s">
        <v>79</v>
      </c>
      <c r="C1" s="1" t="s">
        <v>80</v>
      </c>
      <c r="E1" t="s">
        <v>21</v>
      </c>
      <c r="F1" t="s">
        <v>12</v>
      </c>
      <c r="G1" t="s">
        <v>19</v>
      </c>
      <c r="H1" t="s">
        <v>14</v>
      </c>
      <c r="I1" t="s">
        <v>16</v>
      </c>
      <c r="J1" t="s">
        <v>18</v>
      </c>
      <c r="K1" t="s">
        <v>15</v>
      </c>
      <c r="L1" t="s">
        <v>11</v>
      </c>
      <c r="M1" t="s">
        <v>81</v>
      </c>
      <c r="N1" t="s">
        <v>23</v>
      </c>
      <c r="O1" t="s">
        <v>13</v>
      </c>
      <c r="P1" t="s">
        <v>29</v>
      </c>
      <c r="Q1" t="s">
        <v>24</v>
      </c>
      <c r="R1" t="s">
        <v>25</v>
      </c>
      <c r="S1" t="s">
        <v>17</v>
      </c>
      <c r="T1" t="s">
        <v>26</v>
      </c>
      <c r="U1" t="s">
        <v>31</v>
      </c>
      <c r="V1" t="s">
        <v>27</v>
      </c>
      <c r="W1" t="s">
        <v>33</v>
      </c>
      <c r="X1" t="s">
        <v>34</v>
      </c>
      <c r="Y1" t="s">
        <v>9</v>
      </c>
      <c r="Z1" t="s">
        <v>82</v>
      </c>
      <c r="AA1" t="s">
        <v>30</v>
      </c>
      <c r="AB1" t="s">
        <v>83</v>
      </c>
      <c r="AC1" t="s">
        <v>35</v>
      </c>
      <c r="AD1" t="s">
        <v>36</v>
      </c>
      <c r="AE1" t="s">
        <v>38</v>
      </c>
      <c r="AF1" t="s">
        <v>40</v>
      </c>
      <c r="AG1" t="s">
        <v>39</v>
      </c>
    </row>
    <row r="2" spans="1:33" x14ac:dyDescent="0.3">
      <c r="A2">
        <v>1</v>
      </c>
      <c r="B2" t="s">
        <v>21</v>
      </c>
      <c r="C2" s="3">
        <v>299.9797769393</v>
      </c>
      <c r="D2">
        <v>2001</v>
      </c>
      <c r="E2" s="3">
        <v>5.1212274387000001</v>
      </c>
      <c r="F2" s="3">
        <v>11.173587139</v>
      </c>
      <c r="G2" s="3">
        <v>17.7691073252</v>
      </c>
      <c r="H2" s="3">
        <v>7.2162750272000009</v>
      </c>
      <c r="I2" s="3">
        <v>1.6294814577999999</v>
      </c>
      <c r="J2" s="3">
        <v>8.6905677747999999</v>
      </c>
      <c r="K2" s="3">
        <v>14.742927475000002</v>
      </c>
      <c r="L2" s="3">
        <v>98.389642307000003</v>
      </c>
      <c r="M2" s="3">
        <v>22.579957343300002</v>
      </c>
      <c r="N2" s="3">
        <v>30.184204146199999</v>
      </c>
      <c r="O2" s="3">
        <v>20.9504758856</v>
      </c>
      <c r="P2" s="3">
        <v>3.3365572706999997</v>
      </c>
      <c r="Q2" s="3">
        <v>9.1561339055000008</v>
      </c>
      <c r="R2" s="3">
        <v>4.1900951770999999</v>
      </c>
      <c r="S2" s="3">
        <v>18.467456521300001</v>
      </c>
      <c r="T2" s="3">
        <v>7.7594355131999997</v>
      </c>
      <c r="U2" s="3">
        <v>1.6294814577999999</v>
      </c>
      <c r="V2" s="3">
        <v>6.5955201861999999</v>
      </c>
      <c r="W2" s="3">
        <v>3.7245290462999998</v>
      </c>
      <c r="X2" s="3">
        <v>0.38797177569999997</v>
      </c>
      <c r="Y2" s="3">
        <v>0.93113226159999996</v>
      </c>
      <c r="Z2" s="3">
        <v>8.6905677747999999</v>
      </c>
      <c r="AA2" s="3">
        <v>14.742927475000002</v>
      </c>
      <c r="AB2" s="3">
        <v>18.3898621662</v>
      </c>
      <c r="AC2" s="3">
        <v>7.2162750272000009</v>
      </c>
      <c r="AD2" s="3">
        <v>0.3103774205</v>
      </c>
      <c r="AE2" s="3">
        <v>2.1726419437</v>
      </c>
      <c r="AF2" s="3">
        <v>1.3966983924</v>
      </c>
      <c r="AG2" s="3">
        <v>1.2415096821</v>
      </c>
    </row>
    <row r="3" spans="1:33" x14ac:dyDescent="0.3">
      <c r="A3">
        <v>2</v>
      </c>
      <c r="B3" t="s">
        <v>12</v>
      </c>
      <c r="C3" s="3">
        <v>459.74655415540002</v>
      </c>
      <c r="D3">
        <v>2002</v>
      </c>
      <c r="E3" s="3">
        <v>9.8544831016999996</v>
      </c>
      <c r="F3" s="3">
        <v>18.777833941899999</v>
      </c>
      <c r="G3" s="3">
        <v>52.608972779300004</v>
      </c>
      <c r="H3" s="3">
        <v>6.1299540553999998</v>
      </c>
      <c r="I3" s="3">
        <v>4.8108500182</v>
      </c>
      <c r="J3" s="3">
        <v>64.480909114399992</v>
      </c>
      <c r="K3" s="3">
        <v>23.5110896049</v>
      </c>
      <c r="L3" s="3">
        <v>42.987272743000005</v>
      </c>
      <c r="M3" s="3">
        <v>34.684676743899999</v>
      </c>
      <c r="N3" s="3">
        <v>19.786560558599998</v>
      </c>
      <c r="O3" s="3">
        <v>53.1521332652</v>
      </c>
      <c r="P3" s="3">
        <v>1.0863209718</v>
      </c>
      <c r="Q3" s="3">
        <v>6.9058976067</v>
      </c>
      <c r="R3" s="3">
        <v>5.1988217938000005</v>
      </c>
      <c r="S3" s="3">
        <v>17.536324259800001</v>
      </c>
      <c r="T3" s="3">
        <v>12.415096821100001</v>
      </c>
      <c r="U3" s="3">
        <v>4.4228782424999995</v>
      </c>
      <c r="V3" s="3">
        <v>17.148352484100002</v>
      </c>
      <c r="W3" s="3">
        <v>1.7846701679999999</v>
      </c>
      <c r="X3" s="3">
        <v>0.93113226159999996</v>
      </c>
      <c r="Y3" s="3">
        <v>0.23278306539999999</v>
      </c>
      <c r="Z3" s="3">
        <v>2.4830193642</v>
      </c>
      <c r="AA3" s="3">
        <v>0.85353790640000005</v>
      </c>
      <c r="AB3" s="3">
        <v>19.088211362399999</v>
      </c>
      <c r="AC3" s="3">
        <v>8.6905677747999999</v>
      </c>
      <c r="AD3" s="3">
        <v>27.235618651199999</v>
      </c>
      <c r="AE3" s="3">
        <v>12.3375024659</v>
      </c>
      <c r="AF3" s="3">
        <v>3.5693403360999998</v>
      </c>
      <c r="AG3" s="3">
        <v>11.7167476249</v>
      </c>
    </row>
    <row r="4" spans="1:33" x14ac:dyDescent="0.3">
      <c r="A4">
        <v>3</v>
      </c>
      <c r="B4" t="s">
        <v>19</v>
      </c>
      <c r="C4" s="3">
        <v>501.72510028169995</v>
      </c>
      <c r="D4">
        <v>2003</v>
      </c>
      <c r="E4" s="3">
        <v>0</v>
      </c>
      <c r="F4" s="3">
        <v>4.5780669527999995</v>
      </c>
      <c r="G4" s="3">
        <v>0.23278306539999999</v>
      </c>
      <c r="H4" s="3">
        <v>1.3966983924</v>
      </c>
      <c r="I4" s="3">
        <v>7.7594355099999998E-2</v>
      </c>
      <c r="J4" s="3">
        <v>6.1299540553999998</v>
      </c>
      <c r="K4" s="3">
        <v>3.6469346912000002</v>
      </c>
      <c r="L4" s="3">
        <v>9.8544831016999996</v>
      </c>
      <c r="M4" s="3">
        <v>7.526652447800001</v>
      </c>
      <c r="N4" s="3">
        <v>6.6731145413000004</v>
      </c>
      <c r="O4" s="3">
        <v>0.69834919620000002</v>
      </c>
      <c r="P4" s="3">
        <v>2.2502362988</v>
      </c>
      <c r="Q4" s="3">
        <v>14.9757105404</v>
      </c>
      <c r="R4" s="3">
        <v>1.2415096821</v>
      </c>
      <c r="S4" s="3">
        <v>1.9398588782999999</v>
      </c>
      <c r="T4" s="3">
        <v>9.2337282606999995</v>
      </c>
      <c r="U4" s="3">
        <v>2.8709911399000001</v>
      </c>
      <c r="V4" s="3">
        <v>10.8632097184</v>
      </c>
      <c r="W4" s="3">
        <v>1.0863209718</v>
      </c>
      <c r="X4" s="3">
        <v>3.6469346912000002</v>
      </c>
      <c r="Y4" s="3">
        <v>0</v>
      </c>
      <c r="Z4" s="3">
        <v>1.7070758129000001</v>
      </c>
      <c r="AA4" s="3">
        <v>1.2415096821</v>
      </c>
      <c r="AB4" s="3">
        <v>3.2589629154999997</v>
      </c>
      <c r="AC4" s="3">
        <v>2.5606137193</v>
      </c>
      <c r="AD4" s="3">
        <v>21.6488250817</v>
      </c>
      <c r="AE4" s="3">
        <v>1.8622645231999999</v>
      </c>
      <c r="AF4" s="3">
        <v>0</v>
      </c>
      <c r="AG4" s="3">
        <v>0</v>
      </c>
    </row>
    <row r="5" spans="1:33" x14ac:dyDescent="0.3">
      <c r="A5">
        <v>4</v>
      </c>
      <c r="B5" t="s">
        <v>14</v>
      </c>
      <c r="C5" s="3">
        <v>160.23234334700001</v>
      </c>
      <c r="D5">
        <v>2004</v>
      </c>
      <c r="E5" s="3">
        <v>2.9485854950000001</v>
      </c>
      <c r="F5" s="3">
        <v>10.708021008200001</v>
      </c>
      <c r="G5" s="3">
        <v>16.682786353299999</v>
      </c>
      <c r="H5" s="3">
        <v>11.483964559499999</v>
      </c>
      <c r="I5" s="3">
        <v>1.3966983924</v>
      </c>
      <c r="J5" s="3">
        <v>27.856373492299998</v>
      </c>
      <c r="K5" s="3">
        <v>18.0794847457</v>
      </c>
      <c r="L5" s="3">
        <v>30.261798501399998</v>
      </c>
      <c r="M5" s="3">
        <v>17.070758129000001</v>
      </c>
      <c r="N5" s="3">
        <v>9.6217000363</v>
      </c>
      <c r="O5" s="3">
        <v>6.1299540553999998</v>
      </c>
      <c r="P5" s="3">
        <v>11.79434198</v>
      </c>
      <c r="Q5" s="3">
        <v>1.0863209718</v>
      </c>
      <c r="R5" s="3">
        <v>15.130899250699999</v>
      </c>
      <c r="S5" s="3">
        <v>7.6042468028999997</v>
      </c>
      <c r="T5" s="3">
        <v>2.4054250091</v>
      </c>
      <c r="U5" s="3">
        <v>11.173587139</v>
      </c>
      <c r="V5" s="3">
        <v>3.4917459809000002</v>
      </c>
      <c r="W5" s="3">
        <v>0.23278306539999999</v>
      </c>
      <c r="X5" s="3">
        <v>5.8971709900000002</v>
      </c>
      <c r="Y5" s="3">
        <v>0.1551887103</v>
      </c>
      <c r="Z5" s="3">
        <v>1.7846701679999999</v>
      </c>
      <c r="AA5" s="3">
        <v>2.0174532333999999</v>
      </c>
      <c r="AB5" s="3">
        <v>10.630426652999999</v>
      </c>
      <c r="AC5" s="3">
        <v>3.4141516258000002</v>
      </c>
      <c r="AD5" s="3">
        <v>9.5441056811999996</v>
      </c>
      <c r="AE5" s="3">
        <v>1.0087266167</v>
      </c>
      <c r="AF5" s="3">
        <v>0.3103774205</v>
      </c>
      <c r="AG5" s="3">
        <v>1.8622645231999999</v>
      </c>
    </row>
    <row r="6" spans="1:33" x14ac:dyDescent="0.3">
      <c r="A6">
        <v>5</v>
      </c>
      <c r="B6" t="s">
        <v>16</v>
      </c>
      <c r="C6" s="3">
        <v>83.336337411600013</v>
      </c>
      <c r="D6">
        <v>2005</v>
      </c>
      <c r="E6" s="3">
        <v>28.632317043599997</v>
      </c>
      <c r="F6" s="3">
        <v>31.5809025386</v>
      </c>
      <c r="G6" s="3">
        <v>7.6818411580000001</v>
      </c>
      <c r="H6" s="3">
        <v>3.1813685603999997</v>
      </c>
      <c r="I6" s="3">
        <v>11.7167476249</v>
      </c>
      <c r="J6" s="3">
        <v>22.8903347639</v>
      </c>
      <c r="K6" s="3">
        <v>25.218165417799998</v>
      </c>
      <c r="L6" s="3">
        <v>72.473127693000009</v>
      </c>
      <c r="M6" s="3">
        <v>53.074538910100003</v>
      </c>
      <c r="N6" s="3">
        <v>13.5014177929</v>
      </c>
      <c r="O6" s="3">
        <v>17.536324259800001</v>
      </c>
      <c r="P6" s="3">
        <v>16.372408932799999</v>
      </c>
      <c r="Q6" s="3">
        <v>3.4141516258000002</v>
      </c>
      <c r="R6" s="3">
        <v>15.829248446899999</v>
      </c>
      <c r="S6" s="3">
        <v>8.1474072888000002</v>
      </c>
      <c r="T6" s="3">
        <v>10.8632097184</v>
      </c>
      <c r="U6" s="3">
        <v>13.423823437799999</v>
      </c>
      <c r="V6" s="3">
        <v>2.4830193642</v>
      </c>
      <c r="W6" s="3">
        <v>0.77594355130000003</v>
      </c>
      <c r="X6" s="3">
        <v>6.8283032516000004</v>
      </c>
      <c r="Y6" s="3">
        <v>1.0863209718</v>
      </c>
      <c r="Z6" s="3">
        <v>2.0174532333999999</v>
      </c>
      <c r="AA6" s="3">
        <v>4.5780669527999995</v>
      </c>
      <c r="AB6" s="3">
        <v>4.5780669527999995</v>
      </c>
      <c r="AC6" s="3">
        <v>2.1726419437</v>
      </c>
      <c r="AD6" s="3">
        <v>17.381135549499998</v>
      </c>
      <c r="AE6" s="3">
        <v>5.3540105041000006</v>
      </c>
      <c r="AF6" s="3">
        <v>4.1900951770999999</v>
      </c>
      <c r="AG6" s="3">
        <v>3.1037742053000001</v>
      </c>
    </row>
    <row r="7" spans="1:33" x14ac:dyDescent="0.3">
      <c r="A7">
        <v>6</v>
      </c>
      <c r="B7" t="s">
        <v>18</v>
      </c>
      <c r="C7" s="3">
        <v>646.28338389190003</v>
      </c>
      <c r="D7">
        <v>2006</v>
      </c>
      <c r="E7" s="3">
        <v>4.9660387284</v>
      </c>
      <c r="F7" s="3">
        <v>4.5004725976</v>
      </c>
      <c r="G7" s="3">
        <v>0.1551887103</v>
      </c>
      <c r="H7" s="3">
        <v>0.23278306539999999</v>
      </c>
      <c r="I7" s="3">
        <v>0.1551887103</v>
      </c>
      <c r="J7" s="3">
        <v>13.035851662100001</v>
      </c>
      <c r="K7" s="3">
        <v>8.2250016440000007</v>
      </c>
      <c r="L7" s="3">
        <v>60.833974423299999</v>
      </c>
      <c r="M7" s="3">
        <v>56.566284890999995</v>
      </c>
      <c r="N7" s="3">
        <v>18.3898621662</v>
      </c>
      <c r="O7" s="3">
        <v>29.4082605949</v>
      </c>
      <c r="P7" s="3">
        <v>2.0950475886</v>
      </c>
      <c r="Q7" s="3">
        <v>7.8370298683000001</v>
      </c>
      <c r="R7" s="3">
        <v>6.9834919618999995</v>
      </c>
      <c r="S7" s="3">
        <v>4.6556613079</v>
      </c>
      <c r="T7" s="3">
        <v>4.1125008220000003</v>
      </c>
      <c r="U7" s="3">
        <v>13.113446017299999</v>
      </c>
      <c r="V7" s="3">
        <v>5.8195766348999998</v>
      </c>
      <c r="W7" s="3">
        <v>7.7594355099999998E-2</v>
      </c>
      <c r="X7" s="3">
        <v>4.0349064667999999</v>
      </c>
      <c r="Y7" s="3">
        <v>0.1551887103</v>
      </c>
      <c r="Z7" s="3">
        <v>1.9398588782999999</v>
      </c>
      <c r="AA7" s="3">
        <v>4.2676895321999995</v>
      </c>
      <c r="AB7" s="3">
        <v>15.0533048955</v>
      </c>
      <c r="AC7" s="3">
        <v>1.6294814577999999</v>
      </c>
      <c r="AD7" s="3">
        <v>0.46556613079999998</v>
      </c>
      <c r="AE7" s="3">
        <v>0</v>
      </c>
      <c r="AF7" s="3">
        <v>0</v>
      </c>
      <c r="AG7" s="3">
        <v>3.3365572706999997</v>
      </c>
    </row>
    <row r="8" spans="1:33" x14ac:dyDescent="0.3">
      <c r="A8">
        <v>7</v>
      </c>
      <c r="B8" t="s">
        <v>15</v>
      </c>
      <c r="C8" s="3">
        <v>388.35974743430006</v>
      </c>
      <c r="D8">
        <v>2007</v>
      </c>
      <c r="E8" s="3">
        <v>17.303541194399997</v>
      </c>
      <c r="F8" s="3">
        <v>48.496471957299995</v>
      </c>
      <c r="G8" s="3">
        <v>56.178313115399995</v>
      </c>
      <c r="H8" s="3">
        <v>20.7176928202</v>
      </c>
      <c r="I8" s="3">
        <v>30.029015435999998</v>
      </c>
      <c r="J8" s="3">
        <v>68.515815581300004</v>
      </c>
      <c r="K8" s="3">
        <v>20.640098465000001</v>
      </c>
      <c r="L8" s="3">
        <v>169.46607160759999</v>
      </c>
      <c r="M8" s="3">
        <v>101.02785038149999</v>
      </c>
      <c r="N8" s="3">
        <v>37.400479173499996</v>
      </c>
      <c r="O8" s="3">
        <v>112.12384316529999</v>
      </c>
      <c r="P8" s="3">
        <v>35.848592070800002</v>
      </c>
      <c r="Q8" s="3">
        <v>15.5964653815</v>
      </c>
      <c r="R8" s="3">
        <v>24.2870331562</v>
      </c>
      <c r="S8" s="3">
        <v>14.665333119900001</v>
      </c>
      <c r="T8" s="3">
        <v>42.832084032700003</v>
      </c>
      <c r="U8" s="3">
        <v>11.0959927838</v>
      </c>
      <c r="V8" s="3">
        <v>12.5702855313</v>
      </c>
      <c r="W8" s="3">
        <v>3.2589629154999997</v>
      </c>
      <c r="X8" s="3">
        <v>3.9573121117000003</v>
      </c>
      <c r="Y8" s="3">
        <v>1.3191040372</v>
      </c>
      <c r="Z8" s="3">
        <v>19.088211362399999</v>
      </c>
      <c r="AA8" s="3">
        <v>25.916514614</v>
      </c>
      <c r="AB8" s="3">
        <v>24.907787997300002</v>
      </c>
      <c r="AC8" s="3">
        <v>2.327830654</v>
      </c>
      <c r="AD8" s="3">
        <v>44.616754200700001</v>
      </c>
      <c r="AE8" s="3">
        <v>12.6478798865</v>
      </c>
      <c r="AF8" s="3">
        <v>6.9834919618999995</v>
      </c>
      <c r="AG8" s="3">
        <v>11.871936335200001</v>
      </c>
    </row>
    <row r="9" spans="1:33" x14ac:dyDescent="0.3">
      <c r="A9">
        <v>8</v>
      </c>
      <c r="B9" t="s">
        <v>11</v>
      </c>
      <c r="C9" s="3">
        <v>3609.5342120165997</v>
      </c>
      <c r="D9">
        <v>2008</v>
      </c>
      <c r="E9" s="3">
        <v>3.3365572706999997</v>
      </c>
      <c r="F9" s="3">
        <v>6.9834919618999995</v>
      </c>
      <c r="G9" s="3">
        <v>5.1988217938000005</v>
      </c>
      <c r="H9" s="3">
        <v>3.4141516258000002</v>
      </c>
      <c r="I9" s="3">
        <v>6.9834919618999995</v>
      </c>
      <c r="J9" s="3">
        <v>12.6478798865</v>
      </c>
      <c r="K9" s="3">
        <v>25.994108969100001</v>
      </c>
      <c r="L9" s="3">
        <v>19.320994427800002</v>
      </c>
      <c r="M9" s="3">
        <v>28.166750912800001</v>
      </c>
      <c r="N9" s="3">
        <v>2.9485854950000001</v>
      </c>
      <c r="O9" s="3">
        <v>18.7002395867</v>
      </c>
      <c r="P9" s="3">
        <v>1.5518871026000001</v>
      </c>
      <c r="Q9" s="3">
        <v>1.7070758129000001</v>
      </c>
      <c r="R9" s="3">
        <v>8.6905677747999999</v>
      </c>
      <c r="S9" s="3">
        <v>9.6217000363</v>
      </c>
      <c r="T9" s="3">
        <v>1.3191040372</v>
      </c>
      <c r="U9" s="3">
        <v>0.85353790640000005</v>
      </c>
      <c r="V9" s="3">
        <v>6.4403314758999999</v>
      </c>
      <c r="W9" s="3">
        <v>0.3103774205</v>
      </c>
      <c r="X9" s="3">
        <v>7.7594355099999998E-2</v>
      </c>
      <c r="Y9" s="3">
        <v>0.46556613079999998</v>
      </c>
      <c r="Z9" s="3">
        <v>7.7594355099999998E-2</v>
      </c>
      <c r="AA9" s="3">
        <v>5.8195766348999998</v>
      </c>
      <c r="AB9" s="3">
        <v>9.9320774569000001</v>
      </c>
      <c r="AC9" s="3">
        <v>0</v>
      </c>
      <c r="AD9" s="3">
        <v>0.69834919620000002</v>
      </c>
      <c r="AE9" s="3">
        <v>0.23278306539999999</v>
      </c>
      <c r="AF9" s="3">
        <v>0</v>
      </c>
      <c r="AG9" s="3">
        <v>1.3966983924</v>
      </c>
    </row>
    <row r="10" spans="1:33" x14ac:dyDescent="0.3">
      <c r="A10">
        <v>9</v>
      </c>
      <c r="B10" t="s">
        <v>81</v>
      </c>
      <c r="C10" s="3">
        <v>1397.0863641466003</v>
      </c>
      <c r="D10">
        <v>2009</v>
      </c>
      <c r="E10" s="3">
        <v>6.5179258310999995</v>
      </c>
      <c r="F10" s="3">
        <v>9.9320774569000001</v>
      </c>
      <c r="G10" s="3">
        <v>1.3966983924</v>
      </c>
      <c r="H10" s="3">
        <v>1.3966983924</v>
      </c>
      <c r="I10" s="3">
        <v>0.3103774205</v>
      </c>
      <c r="J10" s="3">
        <v>10.630426652999999</v>
      </c>
      <c r="K10" s="3">
        <v>30.106609791100002</v>
      </c>
      <c r="L10" s="3">
        <v>105.68351168939999</v>
      </c>
      <c r="M10" s="3">
        <v>68.671004291599999</v>
      </c>
      <c r="N10" s="3">
        <v>19.320994427800002</v>
      </c>
      <c r="O10" s="3">
        <v>95.2082737466</v>
      </c>
      <c r="P10" s="3">
        <v>18.0018903906</v>
      </c>
      <c r="Q10" s="3">
        <v>15.441276671200001</v>
      </c>
      <c r="R10" s="3">
        <v>7.7594355131999997</v>
      </c>
      <c r="S10" s="3">
        <v>7.7594355131999997</v>
      </c>
      <c r="T10" s="3">
        <v>21.8816081471</v>
      </c>
      <c r="U10" s="3">
        <v>3.0261798501000001</v>
      </c>
      <c r="V10" s="3">
        <v>14.044578278800001</v>
      </c>
      <c r="W10" s="3">
        <v>1.6294814577999999</v>
      </c>
      <c r="X10" s="3">
        <v>5.1212274387000001</v>
      </c>
      <c r="Y10" s="3">
        <v>0.54316048589999999</v>
      </c>
      <c r="Z10" s="3">
        <v>8.4577847094000003</v>
      </c>
      <c r="AA10" s="3">
        <v>17.691512969999998</v>
      </c>
      <c r="AB10" s="3">
        <v>25.916514614</v>
      </c>
      <c r="AC10" s="3">
        <v>15.6740597366</v>
      </c>
      <c r="AD10" s="3">
        <v>25.373354128100001</v>
      </c>
      <c r="AE10" s="3">
        <v>5.1988217938000005</v>
      </c>
      <c r="AF10" s="3">
        <v>11.483964559499999</v>
      </c>
      <c r="AG10" s="3">
        <v>2.5606137193</v>
      </c>
    </row>
    <row r="11" spans="1:33" x14ac:dyDescent="0.3">
      <c r="A11">
        <v>10</v>
      </c>
      <c r="B11" t="s">
        <v>23</v>
      </c>
      <c r="C11" s="3">
        <v>492.25858895540011</v>
      </c>
      <c r="D11">
        <v>2010</v>
      </c>
      <c r="E11" s="3">
        <v>8.0698129336999997</v>
      </c>
      <c r="F11" s="3">
        <v>3.2589629154999997</v>
      </c>
      <c r="G11" s="3">
        <v>6.3627371207999994</v>
      </c>
      <c r="H11" s="3">
        <v>0.93113226159999996</v>
      </c>
      <c r="I11" s="3">
        <v>1.0863209718</v>
      </c>
      <c r="J11" s="3">
        <v>54.781614722999997</v>
      </c>
      <c r="K11" s="3">
        <v>18.777833941899999</v>
      </c>
      <c r="L11" s="3">
        <v>20.4849097548</v>
      </c>
      <c r="M11" s="3">
        <v>17.536324259800001</v>
      </c>
      <c r="N11" s="3">
        <v>22.191985567700002</v>
      </c>
      <c r="O11" s="3">
        <v>16.915569418699999</v>
      </c>
      <c r="P11" s="3">
        <v>23.2007121844</v>
      </c>
      <c r="Q11" s="3">
        <v>6.1299540553999998</v>
      </c>
      <c r="R11" s="3">
        <v>24.830193642099999</v>
      </c>
      <c r="S11" s="3">
        <v>7.6818411580000001</v>
      </c>
      <c r="T11" s="3">
        <v>3.8021234015000003</v>
      </c>
      <c r="U11" s="3">
        <v>3.1813685603999997</v>
      </c>
      <c r="V11" s="3">
        <v>3.1037742053000001</v>
      </c>
      <c r="W11" s="3">
        <v>1.3966983924</v>
      </c>
      <c r="X11" s="3">
        <v>2.0950475886</v>
      </c>
      <c r="Y11" s="3">
        <v>0.69834919620000002</v>
      </c>
      <c r="Z11" s="3">
        <v>1.5518871026000001</v>
      </c>
      <c r="AA11" s="3">
        <v>1.3966983924</v>
      </c>
      <c r="AB11" s="3">
        <v>2.5606137193</v>
      </c>
      <c r="AC11" s="3">
        <v>2.0174532333999999</v>
      </c>
      <c r="AD11" s="3">
        <v>3.1813685603999997</v>
      </c>
      <c r="AE11" s="3">
        <v>0.38797177569999997</v>
      </c>
      <c r="AF11" s="3">
        <v>1.4742927475000001</v>
      </c>
      <c r="AG11" s="3">
        <v>0.1551887103</v>
      </c>
    </row>
    <row r="12" spans="1:33" x14ac:dyDescent="0.3">
      <c r="A12">
        <v>11</v>
      </c>
      <c r="B12" t="s">
        <v>13</v>
      </c>
      <c r="C12" s="3">
        <v>1733.4578936422997</v>
      </c>
      <c r="D12">
        <v>2011</v>
      </c>
      <c r="E12" s="3">
        <v>12.958257307</v>
      </c>
      <c r="F12" s="3">
        <v>26.0717033243</v>
      </c>
      <c r="G12" s="3">
        <v>7.7594355131999997</v>
      </c>
      <c r="H12" s="3">
        <v>0.85353790640000005</v>
      </c>
      <c r="I12" s="3">
        <v>0.23278306539999999</v>
      </c>
      <c r="J12" s="3">
        <v>18.6226452316</v>
      </c>
      <c r="K12" s="3">
        <v>2.7158024296000001</v>
      </c>
      <c r="L12" s="3">
        <v>92.880443092600004</v>
      </c>
      <c r="M12" s="3">
        <v>37.167696108099996</v>
      </c>
      <c r="N12" s="3">
        <v>27.778779137099999</v>
      </c>
      <c r="O12" s="3">
        <v>62.851427656699997</v>
      </c>
      <c r="P12" s="3">
        <v>18.157079100800001</v>
      </c>
      <c r="Q12" s="3">
        <v>5.9747653450999998</v>
      </c>
      <c r="R12" s="3">
        <v>6.8283032516000004</v>
      </c>
      <c r="S12" s="3">
        <v>10.2424548774</v>
      </c>
      <c r="T12" s="3">
        <v>75.654496253399998</v>
      </c>
      <c r="U12" s="3">
        <v>8.9233508400999995</v>
      </c>
      <c r="V12" s="3">
        <v>40.116281603099999</v>
      </c>
      <c r="W12" s="3">
        <v>16.4500032879</v>
      </c>
      <c r="X12" s="3">
        <v>7.2162750272000009</v>
      </c>
      <c r="Y12" s="3">
        <v>2.6382080745000001</v>
      </c>
      <c r="Z12" s="3">
        <v>10.4752379428</v>
      </c>
      <c r="AA12" s="3">
        <v>20.096937979100002</v>
      </c>
      <c r="AB12" s="3">
        <v>37.400479173499996</v>
      </c>
      <c r="AC12" s="3">
        <v>14.354955699400001</v>
      </c>
      <c r="AD12" s="3">
        <v>57.9629832834</v>
      </c>
      <c r="AE12" s="3">
        <v>17.691512969999998</v>
      </c>
      <c r="AF12" s="3">
        <v>13.035851662100001</v>
      </c>
      <c r="AG12" s="3">
        <v>16.2172202225</v>
      </c>
    </row>
    <row r="13" spans="1:33" x14ac:dyDescent="0.3">
      <c r="A13">
        <v>12</v>
      </c>
      <c r="B13" t="s">
        <v>29</v>
      </c>
      <c r="C13" s="3">
        <v>599.804365168</v>
      </c>
      <c r="D13">
        <v>2012</v>
      </c>
      <c r="E13" s="3">
        <v>4.1900951770999999</v>
      </c>
      <c r="F13" s="3">
        <v>5.6643879245999997</v>
      </c>
      <c r="G13" s="3">
        <v>1.7846701679999999</v>
      </c>
      <c r="H13" s="3">
        <v>3.4917459809000002</v>
      </c>
      <c r="I13" s="3">
        <v>0.38797177569999997</v>
      </c>
      <c r="J13" s="3">
        <v>3.8021234015000003</v>
      </c>
      <c r="K13" s="3">
        <v>0.1551887103</v>
      </c>
      <c r="L13" s="3">
        <v>53.384916330599992</v>
      </c>
      <c r="M13" s="3">
        <v>24.364627511399998</v>
      </c>
      <c r="N13" s="3">
        <v>7.9146242234000006</v>
      </c>
      <c r="O13" s="3">
        <v>38.021234014500003</v>
      </c>
      <c r="P13" s="3">
        <v>5.5091992144000006</v>
      </c>
      <c r="Q13" s="3">
        <v>1.7846701679999999</v>
      </c>
      <c r="R13" s="3">
        <v>5.7419822797000002</v>
      </c>
      <c r="S13" s="3">
        <v>5.6643879245999997</v>
      </c>
      <c r="T13" s="3">
        <v>6.9058976067</v>
      </c>
      <c r="U13" s="3">
        <v>2.5606137193</v>
      </c>
      <c r="V13" s="3">
        <v>4.4228782424999995</v>
      </c>
      <c r="W13" s="3">
        <v>1.6294814577999999</v>
      </c>
      <c r="X13" s="3">
        <v>3.0261798501000001</v>
      </c>
      <c r="Y13" s="3">
        <v>0.1551887103</v>
      </c>
      <c r="Z13" s="3">
        <v>5.3540105041000006</v>
      </c>
      <c r="AA13" s="3">
        <v>4.8108500182</v>
      </c>
      <c r="AB13" s="3">
        <v>12.3375024659</v>
      </c>
      <c r="AC13" s="3">
        <v>2.5606137193</v>
      </c>
      <c r="AD13" s="3">
        <v>35.693403360600001</v>
      </c>
      <c r="AE13" s="3">
        <v>1.3966983924</v>
      </c>
      <c r="AF13" s="3">
        <v>0.77594355130000003</v>
      </c>
      <c r="AG13" s="3">
        <v>3.4917459809000002</v>
      </c>
    </row>
    <row r="14" spans="1:33" x14ac:dyDescent="0.3">
      <c r="A14">
        <v>13</v>
      </c>
      <c r="B14" t="s">
        <v>24</v>
      </c>
      <c r="C14" s="3">
        <v>255.98377757930004</v>
      </c>
      <c r="D14">
        <v>2013</v>
      </c>
      <c r="E14" s="3">
        <v>9.6992943915000005</v>
      </c>
      <c r="F14" s="3">
        <v>25.450948483199998</v>
      </c>
      <c r="G14" s="3">
        <v>19.708966203499998</v>
      </c>
      <c r="H14" s="3">
        <v>8.5353790645000007</v>
      </c>
      <c r="I14" s="3">
        <v>0.3103774205</v>
      </c>
      <c r="J14" s="3">
        <v>4.1900951770999999</v>
      </c>
      <c r="K14" s="3">
        <v>7.061086317</v>
      </c>
      <c r="L14" s="3">
        <v>13.113446017299999</v>
      </c>
      <c r="M14" s="3">
        <v>39.961092892799996</v>
      </c>
      <c r="N14" s="3">
        <v>9.3113226158</v>
      </c>
      <c r="O14" s="3">
        <v>29.796232370599999</v>
      </c>
      <c r="P14" s="3">
        <v>29.796232370599999</v>
      </c>
      <c r="Q14" s="3">
        <v>4.1125008220000003</v>
      </c>
      <c r="R14" s="3">
        <v>5.2764161490000001</v>
      </c>
      <c r="S14" s="3">
        <v>6.5955201861999999</v>
      </c>
      <c r="T14" s="3">
        <v>27.545996071800001</v>
      </c>
      <c r="U14" s="3">
        <v>4.1125008220000003</v>
      </c>
      <c r="V14" s="3">
        <v>4.8108500182</v>
      </c>
      <c r="W14" s="3">
        <v>5.5091992144000006</v>
      </c>
      <c r="X14" s="3">
        <v>1.163915327</v>
      </c>
      <c r="Y14" s="3">
        <v>1.8622645231999999</v>
      </c>
      <c r="Z14" s="3">
        <v>3.4141516258000002</v>
      </c>
      <c r="AA14" s="3">
        <v>5.1988217938000005</v>
      </c>
      <c r="AB14" s="3">
        <v>27.080429940999998</v>
      </c>
      <c r="AC14" s="3">
        <v>3.6469346912000002</v>
      </c>
      <c r="AD14" s="3">
        <v>7.526652447800001</v>
      </c>
      <c r="AE14" s="3">
        <v>1.0087266167</v>
      </c>
      <c r="AF14" s="3">
        <v>6.3627371207999994</v>
      </c>
      <c r="AG14" s="3">
        <v>8.2250016440000007</v>
      </c>
    </row>
    <row r="15" spans="1:33" x14ac:dyDescent="0.3">
      <c r="A15">
        <v>14</v>
      </c>
      <c r="B15" t="s">
        <v>25</v>
      </c>
      <c r="C15" s="3">
        <v>564.11096180740003</v>
      </c>
      <c r="D15">
        <v>2014</v>
      </c>
      <c r="E15" s="3">
        <v>20.096937979100002</v>
      </c>
      <c r="F15" s="3">
        <v>15.130899250699999</v>
      </c>
      <c r="G15" s="3">
        <v>15.2860879609</v>
      </c>
      <c r="H15" s="3">
        <v>4.6556613079</v>
      </c>
      <c r="I15" s="3">
        <v>1.0087266167</v>
      </c>
      <c r="J15" s="3">
        <v>20.7952871753</v>
      </c>
      <c r="K15" s="3">
        <v>5.5867935695000002</v>
      </c>
      <c r="L15" s="3">
        <v>48.962038088100002</v>
      </c>
      <c r="M15" s="3">
        <v>74.568175281600006</v>
      </c>
      <c r="N15" s="3">
        <v>25.528542838299998</v>
      </c>
      <c r="O15" s="3">
        <v>91.949310831100007</v>
      </c>
      <c r="P15" s="3">
        <v>32.589629155299995</v>
      </c>
      <c r="Q15" s="3">
        <v>11.483964559499999</v>
      </c>
      <c r="R15" s="3">
        <v>29.873826725700003</v>
      </c>
      <c r="S15" s="3">
        <v>16.4500032879</v>
      </c>
      <c r="T15" s="3">
        <v>22.424768633100001</v>
      </c>
      <c r="U15" s="3">
        <v>9.8544831016999996</v>
      </c>
      <c r="V15" s="3">
        <v>7.2938693824000005</v>
      </c>
      <c r="W15" s="3">
        <v>1.3966983924</v>
      </c>
      <c r="X15" s="3">
        <v>6.0523597003000003</v>
      </c>
      <c r="Y15" s="3">
        <v>2.327830654</v>
      </c>
      <c r="Z15" s="3">
        <v>7.8370298683000001</v>
      </c>
      <c r="AA15" s="3">
        <v>20.4849097548</v>
      </c>
      <c r="AB15" s="3">
        <v>30.960147697499998</v>
      </c>
      <c r="AC15" s="3">
        <v>4.1125008220000003</v>
      </c>
      <c r="AD15" s="3">
        <v>38.098828369700001</v>
      </c>
      <c r="AE15" s="3">
        <v>9.3889169708999987</v>
      </c>
      <c r="AF15" s="3">
        <v>22.579957343300002</v>
      </c>
      <c r="AG15" s="3">
        <v>7.4490580925999996</v>
      </c>
    </row>
    <row r="16" spans="1:33" x14ac:dyDescent="0.3">
      <c r="A16">
        <v>15</v>
      </c>
      <c r="B16" t="s">
        <v>17</v>
      </c>
      <c r="C16" s="3">
        <v>309.52388262030001</v>
      </c>
      <c r="D16">
        <v>2015</v>
      </c>
      <c r="E16" s="3">
        <v>15.2860879609</v>
      </c>
      <c r="F16" s="3">
        <v>16.915569418699999</v>
      </c>
      <c r="G16" s="3">
        <v>4.1125008220000003</v>
      </c>
      <c r="H16" s="3">
        <v>7.061086317</v>
      </c>
      <c r="I16" s="3">
        <v>4.3452838873999999</v>
      </c>
      <c r="J16" s="3">
        <v>20.174532334199998</v>
      </c>
      <c r="K16" s="3">
        <v>5.4316048592000001</v>
      </c>
      <c r="L16" s="3">
        <v>78.758270458699997</v>
      </c>
      <c r="M16" s="3">
        <v>58.428549414199999</v>
      </c>
      <c r="N16" s="3">
        <v>13.1910403724</v>
      </c>
      <c r="O16" s="3">
        <v>64.636097824700002</v>
      </c>
      <c r="P16" s="3">
        <v>32.667223510399999</v>
      </c>
      <c r="Q16" s="3">
        <v>6.2851427656999999</v>
      </c>
      <c r="R16" s="3">
        <v>21.183258950999999</v>
      </c>
      <c r="S16" s="3">
        <v>5.8971709900000002</v>
      </c>
      <c r="T16" s="3">
        <v>29.796232370599999</v>
      </c>
      <c r="U16" s="3">
        <v>5.7419822797000002</v>
      </c>
      <c r="V16" s="3">
        <v>7.7594355131999997</v>
      </c>
      <c r="W16" s="3">
        <v>0.85353790640000005</v>
      </c>
      <c r="X16" s="3">
        <v>1.7070758129000001</v>
      </c>
      <c r="Y16" s="3">
        <v>0.54316048589999999</v>
      </c>
      <c r="Z16" s="3">
        <v>8.4577847094000003</v>
      </c>
      <c r="AA16" s="3">
        <v>22.036796857399999</v>
      </c>
      <c r="AB16" s="3">
        <v>42.987272743000005</v>
      </c>
      <c r="AC16" s="3">
        <v>6.5179258310999995</v>
      </c>
      <c r="AD16" s="3">
        <v>0.3103774205</v>
      </c>
      <c r="AE16" s="3">
        <v>15.829248446899999</v>
      </c>
      <c r="AF16" s="3">
        <v>12.0271250454</v>
      </c>
      <c r="AG16" s="3">
        <v>4.3452838873999999</v>
      </c>
    </row>
    <row r="17" spans="1:33" x14ac:dyDescent="0.3">
      <c r="A17">
        <v>16</v>
      </c>
      <c r="B17" t="s">
        <v>26</v>
      </c>
      <c r="C17" s="3">
        <v>556.89468678040009</v>
      </c>
      <c r="D17">
        <v>2016</v>
      </c>
      <c r="E17" s="3">
        <v>11.871936335200001</v>
      </c>
      <c r="F17" s="3">
        <v>35.0726485195</v>
      </c>
      <c r="G17" s="3">
        <v>13.346229082699999</v>
      </c>
      <c r="H17" s="3">
        <v>15.441276671200001</v>
      </c>
      <c r="I17" s="3">
        <v>3.4917459809000002</v>
      </c>
      <c r="J17" s="3">
        <v>45.547886462299999</v>
      </c>
      <c r="K17" s="3">
        <v>6.7507088964999999</v>
      </c>
      <c r="L17" s="3">
        <v>171.0955530654</v>
      </c>
      <c r="M17" s="3">
        <v>50.669113900999996</v>
      </c>
      <c r="N17" s="3">
        <v>24.131844445999999</v>
      </c>
      <c r="O17" s="3">
        <v>66.265579282499999</v>
      </c>
      <c r="P17" s="3">
        <v>73.171476889199994</v>
      </c>
      <c r="Q17" s="3">
        <v>14.1997669891</v>
      </c>
      <c r="R17" s="3">
        <v>28.089156557699997</v>
      </c>
      <c r="S17" s="3">
        <v>22.8903347639</v>
      </c>
      <c r="T17" s="3">
        <v>20.9504758856</v>
      </c>
      <c r="U17" s="3">
        <v>16.837975063600002</v>
      </c>
      <c r="V17" s="3">
        <v>19.941749268799999</v>
      </c>
      <c r="W17" s="3">
        <v>3.0261798501000001</v>
      </c>
      <c r="X17" s="3">
        <v>3.8021234015000003</v>
      </c>
      <c r="Y17" s="3">
        <v>0.1551887103</v>
      </c>
      <c r="Z17" s="3">
        <v>7.061086317</v>
      </c>
      <c r="AA17" s="3">
        <v>19.708966203499998</v>
      </c>
      <c r="AB17" s="3">
        <v>24.519816221599999</v>
      </c>
      <c r="AC17" s="3">
        <v>9.7768887465999992</v>
      </c>
      <c r="AD17" s="3">
        <v>0.77594355130000003</v>
      </c>
      <c r="AE17" s="3">
        <v>24.985382352400002</v>
      </c>
      <c r="AF17" s="3">
        <v>19.941749268799999</v>
      </c>
      <c r="AG17" s="3">
        <v>25.450948483199998</v>
      </c>
    </row>
    <row r="18" spans="1:33" x14ac:dyDescent="0.3">
      <c r="A18">
        <v>17</v>
      </c>
      <c r="B18" t="s">
        <v>31</v>
      </c>
      <c r="C18" s="3">
        <v>218.58329840589994</v>
      </c>
      <c r="D18">
        <v>2017</v>
      </c>
      <c r="E18" s="3">
        <v>14.820521830199999</v>
      </c>
      <c r="F18" s="3">
        <v>29.4082605949</v>
      </c>
      <c r="G18" s="3">
        <v>14.742927475000002</v>
      </c>
      <c r="H18" s="3">
        <v>4.0349064667999999</v>
      </c>
      <c r="I18" s="3">
        <v>1.0863209718</v>
      </c>
      <c r="J18" s="3">
        <v>40.426659023600003</v>
      </c>
      <c r="K18" s="3">
        <v>30.882553342400001</v>
      </c>
      <c r="L18" s="3">
        <v>218.35051534060003</v>
      </c>
      <c r="M18" s="3">
        <v>36.857318687599999</v>
      </c>
      <c r="N18" s="3">
        <v>27.313213006400002</v>
      </c>
      <c r="O18" s="3">
        <v>82.250016439600003</v>
      </c>
      <c r="P18" s="3">
        <v>31.658496893700004</v>
      </c>
      <c r="Q18" s="3">
        <v>16.4500032879</v>
      </c>
      <c r="R18" s="3">
        <v>17.458729904599998</v>
      </c>
      <c r="S18" s="3">
        <v>13.423823437799999</v>
      </c>
      <c r="T18" s="3">
        <v>42.444112257</v>
      </c>
      <c r="U18" s="3">
        <v>20.407315399600002</v>
      </c>
      <c r="V18" s="3">
        <v>22.502362988200002</v>
      </c>
      <c r="W18" s="3">
        <v>1.4742927475000001</v>
      </c>
      <c r="X18" s="3">
        <v>0.77594355130000003</v>
      </c>
      <c r="Y18" s="3">
        <v>0.38797177569999997</v>
      </c>
      <c r="Z18" s="3">
        <v>10.5528322979</v>
      </c>
      <c r="AA18" s="3">
        <v>39.728309827399997</v>
      </c>
      <c r="AB18" s="3">
        <v>55.402369564000004</v>
      </c>
      <c r="AC18" s="3">
        <v>14.587738764800001</v>
      </c>
      <c r="AD18" s="3">
        <v>0.3103774205</v>
      </c>
      <c r="AE18" s="3">
        <v>26.847646875599999</v>
      </c>
      <c r="AF18" s="3">
        <v>49.350009863800004</v>
      </c>
      <c r="AG18" s="3">
        <v>14.665333119900001</v>
      </c>
    </row>
    <row r="19" spans="1:33" x14ac:dyDescent="0.3">
      <c r="A19">
        <v>18</v>
      </c>
      <c r="B19" t="s">
        <v>27</v>
      </c>
      <c r="C19" s="3">
        <v>295.63449305170008</v>
      </c>
      <c r="D19">
        <v>2018</v>
      </c>
      <c r="E19" s="3">
        <v>11.79434198</v>
      </c>
      <c r="F19" s="3">
        <v>33.9863275477</v>
      </c>
      <c r="G19" s="3">
        <v>26.925241230700003</v>
      </c>
      <c r="H19" s="3">
        <v>1.5518871026000001</v>
      </c>
      <c r="I19" s="3">
        <v>0.54316048589999999</v>
      </c>
      <c r="J19" s="3">
        <v>44.2287824251</v>
      </c>
      <c r="K19" s="3">
        <v>10.164860522300001</v>
      </c>
      <c r="L19" s="3">
        <v>273.83047925979997</v>
      </c>
      <c r="M19" s="3">
        <v>45.0823203315</v>
      </c>
      <c r="N19" s="3">
        <v>21.0280702407</v>
      </c>
      <c r="O19" s="3">
        <v>82.560393860100007</v>
      </c>
      <c r="P19" s="3">
        <v>38.331611435100001</v>
      </c>
      <c r="Q19" s="3">
        <v>12.958257307</v>
      </c>
      <c r="R19" s="3">
        <v>23.355900894599998</v>
      </c>
      <c r="S19" s="3">
        <v>25.994108969100001</v>
      </c>
      <c r="T19" s="3">
        <v>16.605191998199999</v>
      </c>
      <c r="U19" s="3">
        <v>18.777833941899999</v>
      </c>
      <c r="V19" s="3">
        <v>12.492691176200001</v>
      </c>
      <c r="W19" s="3">
        <v>2.4054250091</v>
      </c>
      <c r="X19" s="3">
        <v>7.3714637375000009</v>
      </c>
      <c r="Y19" s="3">
        <v>1.7070758129000001</v>
      </c>
      <c r="Z19" s="3">
        <v>15.6740597366</v>
      </c>
      <c r="AA19" s="3">
        <v>30.960147697499998</v>
      </c>
      <c r="AB19" s="3">
        <v>37.090101752999999</v>
      </c>
      <c r="AC19" s="3">
        <v>7.2162750272000009</v>
      </c>
      <c r="AD19" s="3">
        <v>10.630426652999999</v>
      </c>
      <c r="AE19" s="3">
        <v>15.906842802</v>
      </c>
      <c r="AF19" s="3">
        <v>16.993163773799999</v>
      </c>
      <c r="AG19" s="3">
        <v>9.0009451952999999</v>
      </c>
    </row>
    <row r="20" spans="1:33" x14ac:dyDescent="0.3">
      <c r="A20">
        <v>19</v>
      </c>
      <c r="B20" t="s">
        <v>33</v>
      </c>
      <c r="C20" s="3">
        <v>99.553557633899999</v>
      </c>
      <c r="D20">
        <v>2019</v>
      </c>
      <c r="E20" s="3">
        <v>12.415096821100001</v>
      </c>
      <c r="F20" s="3">
        <v>22.579957343300002</v>
      </c>
      <c r="G20" s="3">
        <v>11.173587139</v>
      </c>
      <c r="H20" s="3">
        <v>9.9320774569000001</v>
      </c>
      <c r="I20" s="3">
        <v>3.1813685603999997</v>
      </c>
      <c r="J20" s="3">
        <v>27.468401716599999</v>
      </c>
      <c r="K20" s="3">
        <v>20.407315399600002</v>
      </c>
      <c r="L20" s="3">
        <v>235.3436791144</v>
      </c>
      <c r="M20" s="3">
        <v>75.033741412400005</v>
      </c>
      <c r="N20" s="3">
        <v>31.037742052699997</v>
      </c>
      <c r="O20" s="3">
        <v>147.9724352362</v>
      </c>
      <c r="P20" s="3">
        <v>25.916514614</v>
      </c>
      <c r="Q20" s="3">
        <v>17.846701680300001</v>
      </c>
      <c r="R20" s="3">
        <v>27.0028355858</v>
      </c>
      <c r="S20" s="3">
        <v>6.8283032516000004</v>
      </c>
      <c r="T20" s="3">
        <v>31.503308183500003</v>
      </c>
      <c r="U20" s="3">
        <v>17.381135549499998</v>
      </c>
      <c r="V20" s="3">
        <v>23.5110896049</v>
      </c>
      <c r="W20" s="3">
        <v>7.8370298683000001</v>
      </c>
      <c r="X20" s="3">
        <v>0</v>
      </c>
      <c r="Y20" s="3">
        <v>0</v>
      </c>
      <c r="Z20" s="3">
        <v>2.1726419437</v>
      </c>
      <c r="AA20" s="3">
        <v>24.830193642099999</v>
      </c>
      <c r="AB20" s="3">
        <v>42.211329191600001</v>
      </c>
      <c r="AC20" s="3">
        <v>8.3025959990999993</v>
      </c>
      <c r="AD20" s="3">
        <v>37.322884818299997</v>
      </c>
      <c r="AE20" s="3">
        <v>22.812740408700002</v>
      </c>
      <c r="AF20" s="3">
        <v>35.615809005499997</v>
      </c>
      <c r="AG20" s="3">
        <v>25.450948483199998</v>
      </c>
    </row>
    <row r="21" spans="1:33" x14ac:dyDescent="0.3">
      <c r="A21">
        <v>20</v>
      </c>
      <c r="B21" t="s">
        <v>34</v>
      </c>
      <c r="C21" s="3">
        <v>107.778559278</v>
      </c>
      <c r="D21">
        <v>2020</v>
      </c>
      <c r="E21" s="3">
        <v>25.140571062699998</v>
      </c>
      <c r="F21" s="3">
        <v>19.1658057175</v>
      </c>
      <c r="G21" s="3">
        <v>11.483964559499999</v>
      </c>
      <c r="H21" s="3">
        <v>5.5867935695000002</v>
      </c>
      <c r="I21" s="3">
        <v>0.1551887103</v>
      </c>
      <c r="J21" s="3">
        <v>17.381135549499998</v>
      </c>
      <c r="K21" s="3">
        <v>16.4500032879</v>
      </c>
      <c r="L21" s="3">
        <v>290.20288819260003</v>
      </c>
      <c r="M21" s="3">
        <v>74.568175281600006</v>
      </c>
      <c r="N21" s="3">
        <v>24.752599286999999</v>
      </c>
      <c r="O21" s="3">
        <v>109.33044638060001</v>
      </c>
      <c r="P21" s="3">
        <v>16.915569418699999</v>
      </c>
      <c r="Q21" s="3">
        <v>7.9146242234000006</v>
      </c>
      <c r="R21" s="3">
        <v>40.659442089000002</v>
      </c>
      <c r="S21" s="3">
        <v>14.044578278800001</v>
      </c>
      <c r="T21" s="3">
        <v>34.374299323300001</v>
      </c>
      <c r="U21" s="3">
        <v>6.5179258310999995</v>
      </c>
      <c r="V21" s="3">
        <v>14.432550054499998</v>
      </c>
      <c r="W21" s="3">
        <v>3.1813685603999997</v>
      </c>
      <c r="X21" s="3">
        <v>3.1037742053000001</v>
      </c>
      <c r="Y21" s="3">
        <v>0</v>
      </c>
      <c r="Z21" s="3">
        <v>8.3801903541999998</v>
      </c>
      <c r="AA21" s="3">
        <v>26.304486389600001</v>
      </c>
      <c r="AB21" s="3">
        <v>83.103554346099997</v>
      </c>
      <c r="AC21" s="3">
        <v>14.9757105404</v>
      </c>
      <c r="AD21" s="3">
        <v>38.952366276100001</v>
      </c>
      <c r="AE21" s="3">
        <v>17.846701680300001</v>
      </c>
      <c r="AF21" s="3">
        <v>38.797177565800006</v>
      </c>
      <c r="AG21" s="3">
        <v>14.044578278800001</v>
      </c>
    </row>
    <row r="22" spans="1:33" x14ac:dyDescent="0.3">
      <c r="A22">
        <v>21</v>
      </c>
      <c r="B22" t="s">
        <v>9</v>
      </c>
      <c r="C22" s="3">
        <v>30.804958987499994</v>
      </c>
      <c r="D22">
        <v>2021</v>
      </c>
      <c r="E22" s="3">
        <v>26.692458165299996</v>
      </c>
      <c r="F22" s="3">
        <v>16.139625867399999</v>
      </c>
      <c r="G22" s="3">
        <v>18.3898621662</v>
      </c>
      <c r="H22" s="3">
        <v>5.3540105041000006</v>
      </c>
      <c r="I22" s="3">
        <v>2.0174532333999999</v>
      </c>
      <c r="J22" s="3">
        <v>9.8544831016999996</v>
      </c>
      <c r="K22" s="3">
        <v>32.744817865599998</v>
      </c>
      <c r="L22" s="3">
        <v>404.96493943230001</v>
      </c>
      <c r="M22" s="3">
        <v>134.85898921890001</v>
      </c>
      <c r="N22" s="3">
        <v>17.924296035400001</v>
      </c>
      <c r="O22" s="3">
        <v>133.53988518169999</v>
      </c>
      <c r="P22" s="3">
        <v>23.123117829199998</v>
      </c>
      <c r="Q22" s="3">
        <v>25.916514614</v>
      </c>
      <c r="R22" s="3">
        <v>21.4160420163</v>
      </c>
      <c r="S22" s="3">
        <v>8.6129734196000012</v>
      </c>
      <c r="T22" s="3">
        <v>24.209438801099999</v>
      </c>
      <c r="U22" s="3">
        <v>6.1299540553999998</v>
      </c>
      <c r="V22" s="3">
        <v>7.4490580925999996</v>
      </c>
      <c r="W22" s="3">
        <v>4.7332556629999996</v>
      </c>
      <c r="X22" s="3">
        <v>3.4141516258000002</v>
      </c>
      <c r="Y22" s="3">
        <v>0.69834919620000002</v>
      </c>
      <c r="Z22" s="3">
        <v>6.5179258310999995</v>
      </c>
      <c r="AA22" s="3">
        <v>36.158969491400001</v>
      </c>
      <c r="AB22" s="3">
        <v>7.7594355131999997</v>
      </c>
      <c r="AC22" s="3">
        <v>0.69834919620000002</v>
      </c>
      <c r="AD22" s="3">
        <v>9.0009451952999999</v>
      </c>
      <c r="AE22" s="3">
        <v>16.2172202225</v>
      </c>
      <c r="AF22" s="3">
        <v>33.831138837399997</v>
      </c>
      <c r="AG22" s="3">
        <v>19.010617007299999</v>
      </c>
    </row>
    <row r="23" spans="1:33" x14ac:dyDescent="0.3">
      <c r="A23">
        <v>22</v>
      </c>
      <c r="B23" t="s">
        <v>82</v>
      </c>
      <c r="C23" s="3">
        <v>154.17998364679997</v>
      </c>
      <c r="D23">
        <v>2022</v>
      </c>
      <c r="E23" s="3">
        <v>24.752599286999999</v>
      </c>
      <c r="F23" s="3">
        <v>20.174532334199998</v>
      </c>
      <c r="G23" s="3">
        <v>62.230672815600002</v>
      </c>
      <c r="H23" s="3">
        <v>13.346229082699999</v>
      </c>
      <c r="I23" s="3">
        <v>1.8622645231999999</v>
      </c>
      <c r="J23" s="3">
        <v>37.788450949099996</v>
      </c>
      <c r="K23" s="3">
        <v>18.0018903906</v>
      </c>
      <c r="L23" s="3">
        <v>410.39654429159998</v>
      </c>
      <c r="M23" s="3">
        <v>154.7231441326</v>
      </c>
      <c r="N23" s="3">
        <v>30.029015435999998</v>
      </c>
      <c r="O23" s="3">
        <v>143.54955699359999</v>
      </c>
      <c r="P23" s="3">
        <v>45.935858237999994</v>
      </c>
      <c r="Q23" s="3">
        <v>18.5450508765</v>
      </c>
      <c r="R23" s="3">
        <v>50.901896966399995</v>
      </c>
      <c r="S23" s="3">
        <v>41.823357416</v>
      </c>
      <c r="T23" s="3">
        <v>48.108500181699995</v>
      </c>
      <c r="U23" s="3">
        <v>11.7167476249</v>
      </c>
      <c r="V23" s="3">
        <v>24.519816221599999</v>
      </c>
      <c r="W23" s="3">
        <v>9.7768887465999992</v>
      </c>
      <c r="X23" s="3">
        <v>20.562504109900001</v>
      </c>
      <c r="Y23" s="3">
        <v>4.5004725976</v>
      </c>
      <c r="Z23" s="3">
        <v>8.4577847094000003</v>
      </c>
      <c r="AA23" s="3">
        <v>20.872881530399997</v>
      </c>
      <c r="AB23" s="3">
        <v>58.040577638499997</v>
      </c>
      <c r="AC23" s="3">
        <v>14.820521830199999</v>
      </c>
      <c r="AD23" s="3">
        <v>50.436330835599996</v>
      </c>
      <c r="AE23" s="3">
        <v>11.4063702044</v>
      </c>
      <c r="AF23" s="3">
        <v>42.832084032700003</v>
      </c>
      <c r="AG23" s="3">
        <v>12.2599081108</v>
      </c>
    </row>
    <row r="24" spans="1:33" x14ac:dyDescent="0.3">
      <c r="A24">
        <v>23</v>
      </c>
      <c r="B24" t="s">
        <v>30</v>
      </c>
      <c r="C24" s="3">
        <v>474.17910420959998</v>
      </c>
      <c r="D24">
        <v>2023</v>
      </c>
      <c r="E24" s="3">
        <v>9.3113226158</v>
      </c>
      <c r="F24" s="3">
        <v>24.209438801099999</v>
      </c>
      <c r="G24" s="3">
        <v>75.964873673900001</v>
      </c>
      <c r="H24" s="3">
        <v>5.8195766348999998</v>
      </c>
      <c r="I24" s="3">
        <v>0</v>
      </c>
      <c r="J24" s="3">
        <v>31.813685604</v>
      </c>
      <c r="K24" s="3">
        <v>21.1056645958</v>
      </c>
      <c r="L24" s="3">
        <v>358.56351506359999</v>
      </c>
      <c r="M24" s="3">
        <v>115.5379947911</v>
      </c>
      <c r="N24" s="3">
        <v>26.304486389600001</v>
      </c>
      <c r="O24" s="3">
        <v>96.992943914599991</v>
      </c>
      <c r="P24" s="3">
        <v>60.989163133500007</v>
      </c>
      <c r="Q24" s="3">
        <v>13.579012148</v>
      </c>
      <c r="R24" s="3">
        <v>72.550722048099999</v>
      </c>
      <c r="S24" s="3">
        <v>18.777833941899999</v>
      </c>
      <c r="T24" s="3">
        <v>18.467456521300001</v>
      </c>
      <c r="U24" s="3">
        <v>9.6217000363</v>
      </c>
      <c r="V24" s="3">
        <v>7.7594355131999997</v>
      </c>
      <c r="W24" s="3">
        <v>14.587738764800001</v>
      </c>
      <c r="X24" s="3">
        <v>6.2851427656999999</v>
      </c>
      <c r="Y24" s="3">
        <v>1.163915327</v>
      </c>
      <c r="Z24" s="3">
        <v>1.3966983924</v>
      </c>
      <c r="AA24" s="3">
        <v>60.213219582200004</v>
      </c>
      <c r="AB24" s="3">
        <v>30.261798501399998</v>
      </c>
      <c r="AC24" s="3">
        <v>6.9834919618999995</v>
      </c>
      <c r="AD24" s="3">
        <v>29.485854950000004</v>
      </c>
      <c r="AE24" s="3">
        <v>21.959202502299998</v>
      </c>
      <c r="AF24" s="3">
        <v>18.234673455900001</v>
      </c>
      <c r="AG24" s="3">
        <v>32.822412220699995</v>
      </c>
    </row>
    <row r="25" spans="1:33" x14ac:dyDescent="0.3">
      <c r="A25">
        <v>24</v>
      </c>
      <c r="B25" t="s">
        <v>83</v>
      </c>
      <c r="C25" s="3">
        <v>686.24447678469994</v>
      </c>
      <c r="D25">
        <v>2024</v>
      </c>
      <c r="E25" s="3">
        <v>14.1997669891</v>
      </c>
      <c r="F25" s="3">
        <v>19.786560558599998</v>
      </c>
      <c r="G25" s="3">
        <v>54.548831657599997</v>
      </c>
      <c r="H25" s="3">
        <v>18.467456521300001</v>
      </c>
      <c r="I25" s="3">
        <v>6.5179258310999995</v>
      </c>
      <c r="J25" s="3">
        <v>34.529488033600003</v>
      </c>
      <c r="K25" s="3">
        <v>21.959202502299998</v>
      </c>
      <c r="L25" s="3">
        <v>329.93119802000001</v>
      </c>
      <c r="M25" s="3">
        <v>68.360626870999994</v>
      </c>
      <c r="N25" s="3">
        <v>25.994108969100001</v>
      </c>
      <c r="O25" s="3">
        <v>212.91891048139999</v>
      </c>
      <c r="P25" s="3">
        <v>49.505198573999998</v>
      </c>
      <c r="Q25" s="3">
        <v>16.682786353299999</v>
      </c>
      <c r="R25" s="3">
        <v>99.631151989100005</v>
      </c>
      <c r="S25" s="3">
        <v>14.1997669891</v>
      </c>
      <c r="T25" s="3">
        <v>41.280196930099997</v>
      </c>
      <c r="U25" s="3">
        <v>15.208493605799999</v>
      </c>
      <c r="V25" s="3">
        <v>16.062031512299999</v>
      </c>
      <c r="W25" s="3">
        <v>12.415096821100001</v>
      </c>
      <c r="X25" s="3">
        <v>10.320049232500001</v>
      </c>
      <c r="Y25" s="3">
        <v>9.0785395504000004</v>
      </c>
      <c r="Z25" s="3">
        <v>10.630426652999999</v>
      </c>
      <c r="AA25" s="3">
        <v>64.248126049000007</v>
      </c>
      <c r="AB25" s="3">
        <v>62.773833301499998</v>
      </c>
      <c r="AC25" s="3">
        <v>13.579012148</v>
      </c>
      <c r="AD25" s="3">
        <v>45.625480817400003</v>
      </c>
      <c r="AE25" s="3">
        <v>3.5693403360999998</v>
      </c>
      <c r="AF25" s="3">
        <v>52.919350199799993</v>
      </c>
      <c r="AG25" s="3">
        <v>16.139625867399999</v>
      </c>
    </row>
    <row r="26" spans="1:33" x14ac:dyDescent="0.3">
      <c r="A26">
        <v>25</v>
      </c>
      <c r="B26" t="s">
        <v>35</v>
      </c>
      <c r="C26" s="3">
        <v>167.83659015000001</v>
      </c>
    </row>
    <row r="27" spans="1:33" x14ac:dyDescent="0.3">
      <c r="A27">
        <v>26</v>
      </c>
      <c r="B27" t="s">
        <v>36</v>
      </c>
      <c r="C27" s="3">
        <v>512.5883099998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>
        <v>27</v>
      </c>
      <c r="B28" t="s">
        <v>38</v>
      </c>
      <c r="C28" s="3">
        <v>248.06915335619999</v>
      </c>
    </row>
    <row r="29" spans="1:33" x14ac:dyDescent="0.3">
      <c r="A29">
        <v>28</v>
      </c>
      <c r="B29" t="s">
        <v>40</v>
      </c>
      <c r="C29" s="3">
        <v>392.70503132140004</v>
      </c>
    </row>
    <row r="30" spans="1:33" x14ac:dyDescent="0.3">
      <c r="A30">
        <v>29</v>
      </c>
      <c r="B30" t="s">
        <v>39</v>
      </c>
      <c r="C30" s="3">
        <v>245.81891705739997</v>
      </c>
    </row>
    <row r="31" spans="1:33" x14ac:dyDescent="0.3">
      <c r="C31" s="3"/>
    </row>
    <row r="32" spans="1:33" x14ac:dyDescent="0.3">
      <c r="C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85C1-F9DC-4A06-B7F8-BD4954CD54C0}">
  <dimension ref="A1:I6"/>
  <sheetViews>
    <sheetView workbookViewId="0">
      <selection activeCell="E1" sqref="E1:I1"/>
    </sheetView>
  </sheetViews>
  <sheetFormatPr defaultRowHeight="14.4" x14ac:dyDescent="0.3"/>
  <cols>
    <col min="2" max="2" width="14" customWidth="1"/>
    <col min="3" max="3" width="10.44140625" bestFit="1" customWidth="1"/>
    <col min="4" max="4" width="17.109375" customWidth="1"/>
    <col min="6" max="6" width="10.44140625" bestFit="1" customWidth="1"/>
    <col min="9" max="9" width="10.44140625" bestFit="1" customWidth="1"/>
  </cols>
  <sheetData>
    <row r="1" spans="1:9" ht="52.8" x14ac:dyDescent="0.3">
      <c r="A1" s="4" t="s">
        <v>5</v>
      </c>
      <c r="B1" s="5" t="s">
        <v>84</v>
      </c>
      <c r="C1" s="1" t="s">
        <v>80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>
        <v>1</v>
      </c>
      <c r="B2" t="s">
        <v>74</v>
      </c>
      <c r="C2">
        <v>0.93</v>
      </c>
      <c r="E2" s="3">
        <v>1093.3044638056999</v>
      </c>
      <c r="F2" s="3">
        <v>114356.38795115499</v>
      </c>
      <c r="G2" s="3">
        <v>234.02457507719998</v>
      </c>
      <c r="H2" s="3">
        <v>8093.8671837876009</v>
      </c>
      <c r="I2" s="3">
        <v>329480.68519409298</v>
      </c>
    </row>
    <row r="3" spans="1:9" x14ac:dyDescent="0.3">
      <c r="A3">
        <v>2</v>
      </c>
      <c r="B3" t="s">
        <v>75</v>
      </c>
      <c r="C3" s="3">
        <v>1049.46</v>
      </c>
    </row>
    <row r="4" spans="1:9" x14ac:dyDescent="0.3">
      <c r="A4">
        <v>3</v>
      </c>
      <c r="B4" t="s">
        <v>76</v>
      </c>
      <c r="C4">
        <v>9.5399999999999991</v>
      </c>
    </row>
    <row r="5" spans="1:9" x14ac:dyDescent="0.3">
      <c r="A5">
        <v>4</v>
      </c>
      <c r="B5" t="s">
        <v>77</v>
      </c>
      <c r="C5">
        <v>2.33</v>
      </c>
    </row>
    <row r="6" spans="1:9" x14ac:dyDescent="0.3">
      <c r="A6">
        <v>5</v>
      </c>
      <c r="B6" t="s">
        <v>78</v>
      </c>
      <c r="C6">
        <v>134.16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e937ff-6f31-4fc2-ab97-984c69ca59c7" xsi:nil="true"/>
    <lcf76f155ced4ddcb4097134ff3c332f xmlns="2ff60dfd-f838-45d0-9448-a02077c9fd9e">
      <Terms xmlns="http://schemas.microsoft.com/office/infopath/2007/PartnerControls"/>
    </lcf76f155ced4ddcb4097134ff3c332f>
    <_x0031__x002e__x0020_Date_x0020_de_x0020_la_x0020_mise_x0020_en_x0020_place_x0020_de_x0020_la_x0020_cohorte xmlns="2ff60dfd-f838-45d0-9448-a02077c9fd9e"/>
    <_x0039__x002e__x0020_Montant_x0020_cr_x00e9_dit_x0020_encours_x0020_des_x0020_hommes xmlns="2ff60dfd-f838-45d0-9448-a02077c9fd9e"/>
    <_x0031_6_x002e__x0020_Trimestre_x0020_rapport_x00e9_ xmlns="2ff60dfd-f838-45d0-9448-a02077c9fd9e"/>
    <_x0020_10_x002e__x0020_Montant_x0020_des_x0020_cr_x00e9_dits_x0020_encours_x0020_des_x0020_femmes xmlns="2ff60dfd-f838-45d0-9448-a02077c9fd9e"/>
    <_x0033__x002e__x0020_Mettez_x0020_le_x0020_nombre_x0020_des_x0020_BSG_x0020_cr_x00e9__x00e9__x0020_dans_x0020_la_x0020_cohorte xmlns="2ff60dfd-f838-45d0-9448-a02077c9fd9e"/>
    <_x0031_1_x002e__x0020_Volume_x0020_d_x0027_Epargne_x0020_d_x0027_urgence xmlns="2ff60dfd-f838-45d0-9448-a02077c9fd9e"/>
    <Site xmlns="2ff60dfd-f838-45d0-9448-a02077c9fd9e"/>
    <_x0038__x002e__x0020_Montant_x0020_d_x0027__x00e9_pargne_x0020_encours_x0020_des_x0020_femmes xmlns="2ff60dfd-f838-45d0-9448-a02077c9fd9e"/>
    <_x0031_5_x002e__x0020_Nombre_x0020_d_x0027_affaires_x0020_financ_x00e9__x0020_par_x0020_les_x0020_cr_x00e9_dits_x0020_ xmlns="2ff60dfd-f838-45d0-9448-a02077c9fd9e"/>
    <_x0036__x002e__x0020_Nombre_x0020_des_x0020_femmes xmlns="2ff60dfd-f838-45d0-9448-a02077c9fd9e"/>
    <_x0031_2_x002e__x0020_Volume_x0020_d_x0027_Epargne_x0020_ordinaire_x0020_ xmlns="2ff60dfd-f838-45d0-9448-a02077c9fd9e"/>
    <_x0031_6_x002e__x0020_Ann_x00e9_e_x0020_du_x0020_rapport xmlns="2ff60dfd-f838-45d0-9448-a02077c9fd9e"/>
    <_x0035__x002e__x0020_Nombres_x0020_des_x0020_hommes_x0020_ xmlns="2ff60dfd-f838-45d0-9448-a02077c9fd9e"/>
    <_x0037__x002e__x0020_Montant_x0020_d_x0027_epargne_x0020_encours_x0020_des_x0020_hommes_x0020_ xmlns="2ff60dfd-f838-45d0-9448-a02077c9fd9e"/>
    <_x0031_3_x002e__x0020_volume_x0020_Epargne_x0020_SWAP xmlns="2ff60dfd-f838-45d0-9448-a02077c9fd9e"/>
    <_x0031_4_x002e__x0020_Volume_x0020_des_x0020_cr_x00e9_dits_x0020_r_x00e9_investis_x0020_dans_x0020_les_x0020_affaires_x0020_ xmlns="2ff60dfd-f838-45d0-9448-a02077c9fd9e"/>
    <_x0034__x002e__x0020_Mettez_x0020_le_x0020_nombre_x0020_des_x0020_BSG_x0020_disloqu_x00e9__x0020_de_x0020_la_x0020_cohorte xmlns="2ff60dfd-f838-45d0-9448-a02077c9fd9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A7B65DAA40044A13147C90EE83577" ma:contentTypeVersion="31" ma:contentTypeDescription="Create a new document." ma:contentTypeScope="" ma:versionID="e4759f1beaf1c2375bf8520e33cba1db">
  <xsd:schema xmlns:xsd="http://www.w3.org/2001/XMLSchema" xmlns:xs="http://www.w3.org/2001/XMLSchema" xmlns:p="http://schemas.microsoft.com/office/2006/metadata/properties" xmlns:ns2="2ff60dfd-f838-45d0-9448-a02077c9fd9e" xmlns:ns3="a9e937ff-6f31-4fc2-ab97-984c69ca59c7" targetNamespace="http://schemas.microsoft.com/office/2006/metadata/properties" ma:root="true" ma:fieldsID="40b73e88dca83864c252447fccd80e91" ns2:_="" ns3:_="">
    <xsd:import namespace="2ff60dfd-f838-45d0-9448-a02077c9fd9e"/>
    <xsd:import namespace="a9e937ff-6f31-4fc2-ab97-984c69ca5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Site"/>
                <xsd:element ref="ns2:_x0031__x002e__x0020_Date_x0020_de_x0020_la_x0020_mise_x0020_en_x0020_place_x0020_de_x0020_la_x0020_cohorte"/>
                <xsd:element ref="ns2:_x0033__x002e__x0020_Mettez_x0020_le_x0020_nombre_x0020_des_x0020_BSG_x0020_cr_x00e9__x00e9__x0020_dans_x0020_la_x0020_cohorte"/>
                <xsd:element ref="ns2:_x0034__x002e__x0020_Mettez_x0020_le_x0020_nombre_x0020_des_x0020_BSG_x0020_disloqu_x00e9__x0020_de_x0020_la_x0020_cohorte"/>
                <xsd:element ref="ns2:_x0035__x002e__x0020_Nombres_x0020_des_x0020_hommes_x0020_"/>
                <xsd:element ref="ns2:_x0036__x002e__x0020_Nombre_x0020_des_x0020_femmes"/>
                <xsd:element ref="ns2:_x0037__x002e__x0020_Montant_x0020_d_x0027_epargne_x0020_encours_x0020_des_x0020_hommes_x0020_"/>
                <xsd:element ref="ns2:_x0038__x002e__x0020_Montant_x0020_d_x0027__x00e9_pargne_x0020_encours_x0020_des_x0020_femmes"/>
                <xsd:element ref="ns2:_x0039__x002e__x0020_Montant_x0020_cr_x00e9_dit_x0020_encours_x0020_des_x0020_hommes"/>
                <xsd:element ref="ns2:_x0020_10_x002e__x0020_Montant_x0020_des_x0020_cr_x00e9_dits_x0020_encours_x0020_des_x0020_femmes"/>
                <xsd:element ref="ns2:_x0031_1_x002e__x0020_Volume_x0020_d_x0027_Epargne_x0020_d_x0027_urgence"/>
                <xsd:element ref="ns2:_x0031_2_x002e__x0020_Volume_x0020_d_x0027_Epargne_x0020_ordinaire_x0020_"/>
                <xsd:element ref="ns2:_x0031_3_x002e__x0020_volume_x0020_Epargne_x0020_SWAP"/>
                <xsd:element ref="ns2:_x0031_4_x002e__x0020_Volume_x0020_des_x0020_cr_x00e9_dits_x0020_r_x00e9_investis_x0020_dans_x0020_les_x0020_affaires_x0020_"/>
                <xsd:element ref="ns2:_x0031_5_x002e__x0020_Nombre_x0020_d_x0027_affaires_x0020_financ_x00e9__x0020_par_x0020_les_x0020_cr_x00e9_dits_x0020_"/>
                <xsd:element ref="ns2:_x0031_6_x002e__x0020_Trimestre_x0020_rapport_x00e9_"/>
                <xsd:element ref="ns2:_x0031_6_x002e__x0020_Ann_x00e9_e_x0020_du_x0020_rapport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60dfd-f838-45d0-9448-a02077c9f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2aeeb-473a-4994-9d1e-c19a9265fc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Site" ma:index="22" ma:displayName="Site" ma:format="Dropdown" ma:internalName="Site">
      <xsd:simpleType>
        <xsd:restriction base="dms:Choice">
          <xsd:enumeration value="Cohorte 1"/>
          <xsd:enumeration value="Cohorte 2"/>
          <xsd:enumeration value="Cohorte 3"/>
          <xsd:enumeration value="Choice 4"/>
          <xsd:enumeration value="Cohorte 5"/>
          <xsd:enumeration value="Cohorte 6"/>
          <xsd:enumeration value="Cohorte 7"/>
          <xsd:enumeration value="Cohorte 9"/>
          <xsd:enumeration value="Cohorte 10"/>
        </xsd:restriction>
      </xsd:simpleType>
    </xsd:element>
    <xsd:element name="_x0031__x002e__x0020_Date_x0020_de_x0020_la_x0020_mise_x0020_en_x0020_place_x0020_de_x0020_la_x0020_cohorte" ma:index="23" ma:displayName="1. Date de la mise en place de la cohorte" ma:internalName="_x0031__x002e__x0020_Date_x0020_de_x0020_la_x0020_mise_x0020_en_x0020_place_x0020_de_x0020_la_x0020_cohorte">
      <xsd:simpleType>
        <xsd:restriction base="dms:Text">
          <xsd:maxLength value="255"/>
        </xsd:restriction>
      </xsd:simpleType>
    </xsd:element>
    <xsd:element name="_x0033__x002e__x0020_Mettez_x0020_le_x0020_nombre_x0020_des_x0020_BSG_x0020_cr_x00e9__x00e9__x0020_dans_x0020_la_x0020_cohorte" ma:index="24" ma:displayName="3. Mettez le nombre des BSG créé dans la cohorte" ma:internalName="_x0033__x002e__x0020_Mettez_x0020_le_x0020_nombre_x0020_des_x0020_BSG_x0020_cr_x00e9__x00e9__x0020_dans_x0020_la_x0020_cohorte">
      <xsd:simpleType>
        <xsd:restriction base="dms:Number"/>
      </xsd:simpleType>
    </xsd:element>
    <xsd:element name="_x0034__x002e__x0020_Mettez_x0020_le_x0020_nombre_x0020_des_x0020_BSG_x0020_disloqu_x00e9__x0020_de_x0020_la_x0020_cohorte" ma:index="25" ma:displayName="4. Mettez le nombre des BSG disloqué de la cohorte" ma:internalName="_x0034__x002e__x0020_Mettez_x0020_le_x0020_nombre_x0020_des_x0020_BSG_x0020_disloqu_x00e9__x0020_de_x0020_la_x0020_cohorte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5__x002e__x0020_Nombres_x0020_des_x0020_hommes_x0020_" ma:index="26" ma:displayName="5. Nombres des hommes " ma:internalName="_x0035__x002e__x0020_Nombres_x0020_des_x0020_hommes_x0020_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6__x002e__x0020_Nombre_x0020_des_x0020_femmes" ma:index="27" ma:displayName="6. Nombre des femmes" ma:internalName="_x0036__x002e__x0020_Nombre_x0020_des_x0020_femmes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7__x002e__x0020_Montant_x0020_d_x0027_epargne_x0020_encours_x0020_des_x0020_hommes_x0020_" ma:index="28" ma:displayName="7. Montant d'epargne encours des hommes " ma:internalName="_x0037__x002e__x0020_Montant_x0020_d_x0027_epargne_x0020_encours_x0020_des_x0020_hommes_x0020_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8__x002e__x0020_Montant_x0020_d_x0027__x00e9_pargne_x0020_encours_x0020_des_x0020_femmes" ma:index="29" ma:displayName="8. Montant d'épargne encours des femmes" ma:internalName="_x0038__x002e__x0020_Montant_x0020_d_x0027__x00e9_pargne_x0020_encours_x0020_des_x0020_femmes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9__x002e__x0020_Montant_x0020_cr_x00e9_dit_x0020_encours_x0020_des_x0020_hommes" ma:index="30" ma:displayName="9. Montant crédit encours des hommes" ma:internalName="_x0039__x002e__x0020_Montant_x0020_cr_x00e9_dit_x0020_encours_x0020_des_x0020_hommes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20_10_x002e__x0020_Montant_x0020_des_x0020_cr_x00e9_dits_x0020_encours_x0020_des_x0020_femmes" ma:index="31" ma:displayName=" 10. Montant des crédits encours des femmes" ma:internalName="_x0020_10_x002e__x0020_Montant_x0020_des_x0020_cr_x00e9_dits_x0020_encours_x0020_des_x0020_femmes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1_1_x002e__x0020_Volume_x0020_d_x0027_Epargne_x0020_d_x0027_urgence" ma:index="32" ma:displayName="11. Volume d'Epargne d'urgence" ma:internalName="_x0031_1_x002e__x0020_Volume_x0020_d_x0027_Epargne_x0020_d_x0027_urgence">
      <xsd:simpleType>
        <xsd:restriction base="dms:Number"/>
      </xsd:simpleType>
    </xsd:element>
    <xsd:element name="_x0031_2_x002e__x0020_Volume_x0020_d_x0027_Epargne_x0020_ordinaire_x0020_" ma:index="33" ma:displayName="12. Volume d'Epargne ordinaire " ma:internalName="_x0031_2_x002e__x0020_Volume_x0020_d_x0027_Epargne_x0020_ordinaire_x0020_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_x0031_3_x002e__x0020_volume_x0020_Epargne_x0020_SWAP" ma:index="34" ma:displayName="13. volume Epargne SWAP" ma:internalName="_x0031_3_x002e__x0020_volume_x0020_Epargne_x0020_SWAP">
      <xsd:simpleType>
        <xsd:restriction base="dms:Number"/>
      </xsd:simpleType>
    </xsd:element>
    <xsd:element name="_x0031_4_x002e__x0020_Volume_x0020_des_x0020_cr_x00e9_dits_x0020_r_x00e9_investis_x0020_dans_x0020_les_x0020_affaires_x0020_" ma:index="35" ma:displayName="14. Volume des crédits réinvestis dans les affaires " ma:internalName="_x0031_4_x002e__x0020_Volume_x0020_des_x0020_cr_x00e9_dits_x0020_r_x00e9_investis_x0020_dans_x0020_les_x0020_affaires_x0020_">
      <xsd:simpleType>
        <xsd:restriction base="dms:Number"/>
      </xsd:simpleType>
    </xsd:element>
    <xsd:element name="_x0031_5_x002e__x0020_Nombre_x0020_d_x0027_affaires_x0020_financ_x00e9__x0020_par_x0020_les_x0020_cr_x00e9_dits_x0020_" ma:index="36" ma:displayName="15. Nombre d'affaires financé par les crédits " ma:internalName="_x0031_5_x002e__x0020_Nombre_x0020_d_x0027_affaires_x0020_financ_x00e9__x0020_par_x0020_les_x0020_cr_x00e9_dits_x0020_">
      <xsd:simpleType>
        <xsd:restriction base="dms:Number"/>
      </xsd:simpleType>
    </xsd:element>
    <xsd:element name="_x0031_6_x002e__x0020_Trimestre_x0020_rapport_x00e9_" ma:index="37" ma:displayName="16. Trimestre rapporté" ma:format="Dropdown" ma:internalName="_x0031_6_x002e__x0020_Trimestre_x0020_rapport_x00e9_">
      <xsd:simpleType>
        <xsd:restriction base="dms:Choice">
          <xsd:enumeration value="Janvier-Mars"/>
          <xsd:enumeration value="Avril-Juin"/>
          <xsd:enumeration value="Juillet-Septembre"/>
          <xsd:enumeration value="Octobre-Decembre"/>
        </xsd:restriction>
      </xsd:simpleType>
    </xsd:element>
    <xsd:element name="_x0031_6_x002e__x0020_Ann_x00e9_e_x0020_du_x0020_rapport" ma:index="38" ma:displayName="16. Année du rapport" ma:internalName="_x0031_6_x002e__x0020_Ann_x00e9_e_x0020_du_x0020_rapport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937ff-6f31-4fc2-ab97-984c69ca59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ab5d46-ebda-473c-a8e0-0d8d53b4123a}" ma:internalName="TaxCatchAll" ma:showField="CatchAllData" ma:web="a9e937ff-6f31-4fc2-ab97-984c69ca59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5D79B5-5F95-4B0F-9B4E-387612FFD3EA}">
  <ds:schemaRefs>
    <ds:schemaRef ds:uri="http://schemas.microsoft.com/office/2006/metadata/properties"/>
    <ds:schemaRef ds:uri="http://schemas.microsoft.com/office/infopath/2007/PartnerControls"/>
    <ds:schemaRef ds:uri="a9e937ff-6f31-4fc2-ab97-984c69ca59c7"/>
    <ds:schemaRef ds:uri="2ff60dfd-f838-45d0-9448-a02077c9fd9e"/>
  </ds:schemaRefs>
</ds:datastoreItem>
</file>

<file path=customXml/itemProps2.xml><?xml version="1.0" encoding="utf-8"?>
<ds:datastoreItem xmlns:ds="http://schemas.openxmlformats.org/officeDocument/2006/customXml" ds:itemID="{AE2E011F-4491-42DF-9D9F-F64CDF87B5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60dfd-f838-45d0-9448-a02077c9fd9e"/>
    <ds:schemaRef ds:uri="a9e937ff-6f31-4fc2-ab97-984c69ca59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02FEBA-BC10-4DA4-B694-B4A58EA55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Forest_Cover </vt:lpstr>
      <vt:lpstr>Buffer</vt:lpstr>
      <vt:lpstr>(II) 2.2 RFO ZAD</vt:lpstr>
      <vt:lpstr>(II) 2.2 RFO  Core_Zone</vt:lpstr>
      <vt:lpstr>(II) 2.2 RFO  ZChasse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Baderha, Alex</dc:creator>
  <cp:keywords/>
  <dc:description/>
  <cp:lastModifiedBy>Aganze, Eliud</cp:lastModifiedBy>
  <cp:revision/>
  <dcterms:created xsi:type="dcterms:W3CDTF">2025-06-10T06:40:44Z</dcterms:created>
  <dcterms:modified xsi:type="dcterms:W3CDTF">2026-05-04T17:43:27Z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0x010100B4BA7B65DAA40044A13147C90EE83577</vt:lpwstr>
  </property>
  <property fmtid="{D5CDD505-2E9C-101B-9397-08002B2CF9AE}" pid="3" name="MediaServiceImageTags">
    <vt:lpwstr/>
  </property>
</Properties>
</file>